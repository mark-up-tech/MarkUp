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updateLinks="never" codeName="ThisWorkbook" defaultThemeVersion="124226"/>
  <mc:AlternateContent xmlns:mc="http://schemas.openxmlformats.org/markup-compatibility/2006">
    <mc:Choice Requires="x15">
      <x15ac:absPath xmlns:x15ac="http://schemas.microsoft.com/office/spreadsheetml/2010/11/ac" url="D:\Projects\MarkUp\MarkUp\MarkUpMiscFiles\"/>
    </mc:Choice>
  </mc:AlternateContent>
  <xr:revisionPtr revIDLastSave="0" documentId="13_ncr:1_{A8A3B0D5-1CD4-43B2-825F-034A95DF7C7B}" xr6:coauthVersionLast="45" xr6:coauthVersionMax="45" xr10:uidLastSave="{00000000-0000-0000-0000-000000000000}"/>
  <bookViews>
    <workbookView xWindow="-120" yWindow="-120" windowWidth="29040" windowHeight="15990" xr2:uid="{00000000-000D-0000-FFFF-FFFF00000000}"/>
  </bookViews>
  <sheets>
    <sheet name="Sprint 1" sheetId="6" r:id="rId1"/>
    <sheet name="Sprint 2" sheetId="8" r:id="rId2"/>
  </sheets>
  <functionGroups builtInGroupCount="19"/>
  <definedNames>
    <definedName name="_xlnm._FilterDatabase" localSheetId="0" hidden="1">'Sprint 1'!$A$1:$L$5</definedName>
    <definedName name="_xlnm._FilterDatabase" localSheetId="1" hidden="1">'Sprint 2'!$A$1:$L$1</definedName>
    <definedName name="Z_05CD660A_3FBF_47FF_9960_14E32B913AD3_.wvu.FilterData" localSheetId="0" hidden="1">'Sprint 1'!$A$1:$L$5</definedName>
    <definedName name="Z_05CD660A_3FBF_47FF_9960_14E32B913AD3_.wvu.FilterData" localSheetId="1" hidden="1">'Sprint 2'!$A$1:$L$1</definedName>
    <definedName name="Z_09A4AC4F_1BE6_4EEF_81C5_7035FF28FF59_.wvu.FilterData" localSheetId="0" hidden="1">'Sprint 1'!$A$1:$L$5</definedName>
    <definedName name="Z_09A4AC4F_1BE6_4EEF_81C5_7035FF28FF59_.wvu.FilterData" localSheetId="1" hidden="1">'Sprint 2'!$A$1:$L$1</definedName>
    <definedName name="Z_0CAC5EF8_D053_42E4_9439_91EA5D5955C7_.wvu.FilterData" localSheetId="0" hidden="1">'Sprint 1'!$A$1:$L$5</definedName>
    <definedName name="Z_0CAC5EF8_D053_42E4_9439_91EA5D5955C7_.wvu.FilterData" localSheetId="1" hidden="1">'Sprint 2'!$A$1:$L$1</definedName>
    <definedName name="Z_1634839B_CF2C_446C_9114_87B901302616_.wvu.FilterData" localSheetId="0" hidden="1">'Sprint 1'!$A$1:$L$5</definedName>
    <definedName name="Z_1634839B_CF2C_446C_9114_87B901302616_.wvu.FilterData" localSheetId="1" hidden="1">'Sprint 2'!$A$1:$L$1</definedName>
    <definedName name="Z_1C143473_DF7D_4DE6_9F24_98F2C1835D98_.wvu.FilterData" localSheetId="0" hidden="1">'Sprint 1'!$A$1:$L$5</definedName>
    <definedName name="Z_1C143473_DF7D_4DE6_9F24_98F2C1835D98_.wvu.FilterData" localSheetId="1" hidden="1">'Sprint 2'!$A$1:$L$1</definedName>
    <definedName name="Z_1C90B4B6_0F5B_4067_8F82_A2D1A0214ACA_.wvu.FilterData" localSheetId="0" hidden="1">'Sprint 1'!$A$1:$L$5</definedName>
    <definedName name="Z_1C90B4B6_0F5B_4067_8F82_A2D1A0214ACA_.wvu.FilterData" localSheetId="1" hidden="1">'Sprint 2'!$A$1:$L$1</definedName>
    <definedName name="Z_1D6804BE_423E_46A7_81C3_C4B5390E53D9_.wvu.FilterData" localSheetId="0" hidden="1">'Sprint 1'!$A$1:$L$5</definedName>
    <definedName name="Z_1D6804BE_423E_46A7_81C3_C4B5390E53D9_.wvu.FilterData" localSheetId="1" hidden="1">'Sprint 2'!$A$1:$L$1</definedName>
    <definedName name="Z_1F003FE9_91B2_4D69_9DFC_E5C62C5E383B_.wvu.FilterData" localSheetId="0" hidden="1">'Sprint 1'!$A$1:$L$5</definedName>
    <definedName name="Z_1F003FE9_91B2_4D69_9DFC_E5C62C5E383B_.wvu.FilterData" localSheetId="1" hidden="1">'Sprint 2'!$A$1:$L$1</definedName>
    <definedName name="Z_23B271D0_9F2C_44F8_9204_6FDA13CF4E7D_.wvu.FilterData" localSheetId="0" hidden="1">'Sprint 1'!$A$1:$L$5</definedName>
    <definedName name="Z_23B271D0_9F2C_44F8_9204_6FDA13CF4E7D_.wvu.FilterData" localSheetId="1" hidden="1">'Sprint 2'!$A$1:$L$1</definedName>
    <definedName name="Z_28A83D0A_FF8A_4541_AC99_02378EFE192B_.wvu.FilterData" localSheetId="0" hidden="1">'Sprint 1'!$A$1:$L$5</definedName>
    <definedName name="Z_28A83D0A_FF8A_4541_AC99_02378EFE192B_.wvu.FilterData" localSheetId="1" hidden="1">'Sprint 2'!$A$1:$L$1</definedName>
    <definedName name="Z_2F9018B8_B7E4_4521_B407_383D7E430958_.wvu.FilterData" localSheetId="0" hidden="1">'Sprint 1'!$A$1:$L$5</definedName>
    <definedName name="Z_2F9018B8_B7E4_4521_B407_383D7E430958_.wvu.FilterData" localSheetId="1" hidden="1">'Sprint 2'!$A$1:$L$1</definedName>
    <definedName name="Z_31B25EE9_15D1_4DE2_9AFF_C011C23425E9_.wvu.FilterData" localSheetId="0" hidden="1">'Sprint 1'!$A$1:$L$5</definedName>
    <definedName name="Z_31B25EE9_15D1_4DE2_9AFF_C011C23425E9_.wvu.FilterData" localSheetId="1" hidden="1">'Sprint 2'!$A$1:$L$1</definedName>
    <definedName name="Z_47694F39_2DAD_492F_AB64_1530024F138E_.wvu.FilterData" localSheetId="0" hidden="1">'Sprint 1'!$A$1:$L$5</definedName>
    <definedName name="Z_47694F39_2DAD_492F_AB64_1530024F138E_.wvu.FilterData" localSheetId="1" hidden="1">'Sprint 2'!$A$1:$L$1</definedName>
    <definedName name="Z_5EC23985_2E0D_4DED_BBF7_10292B2A2E43_.wvu.FilterData" localSheetId="0" hidden="1">'Sprint 1'!$A$1:$L$5</definedName>
    <definedName name="Z_5EC23985_2E0D_4DED_BBF7_10292B2A2E43_.wvu.FilterData" localSheetId="1" hidden="1">'Sprint 2'!$A$1:$L$1</definedName>
    <definedName name="Z_64690F0C_94F7_4E62_A837_6FF33464CDA3_.wvu.FilterData" localSheetId="0" hidden="1">'Sprint 1'!$A$1:$L$5</definedName>
    <definedName name="Z_64690F0C_94F7_4E62_A837_6FF33464CDA3_.wvu.FilterData" localSheetId="1" hidden="1">'Sprint 2'!$A$1:$L$1</definedName>
    <definedName name="Z_64B78518_CF14_4276_ADC2_A084F51E3D02_.wvu.FilterData" localSheetId="0" hidden="1">'Sprint 1'!$A$1:$L$5</definedName>
    <definedName name="Z_64B78518_CF14_4276_ADC2_A084F51E3D02_.wvu.FilterData" localSheetId="1" hidden="1">'Sprint 2'!$A$1:$L$1</definedName>
    <definedName name="Z_6686781F_3AB4_4365_9575_623430B3F0F8_.wvu.FilterData" localSheetId="0" hidden="1">'Sprint 1'!$A$1:$L$5</definedName>
    <definedName name="Z_6686781F_3AB4_4365_9575_623430B3F0F8_.wvu.FilterData" localSheetId="1" hidden="1">'Sprint 2'!$A$1:$L$1</definedName>
    <definedName name="Z_6768EBBA_C675_4DA2_9AB1_5447A0BD7797_.wvu.FilterData" localSheetId="0" hidden="1">'Sprint 1'!$A$1:$L$5</definedName>
    <definedName name="Z_6768EBBA_C675_4DA2_9AB1_5447A0BD7797_.wvu.FilterData" localSheetId="1" hidden="1">'Sprint 2'!$A$1:$L$1</definedName>
    <definedName name="Z_6AA6E991_F9B0_4EE5_B658_B5BEE471E302_.wvu.FilterData" localSheetId="0" hidden="1">'Sprint 1'!$A$1:$L$5</definedName>
    <definedName name="Z_6AA6E991_F9B0_4EE5_B658_B5BEE471E302_.wvu.FilterData" localSheetId="1" hidden="1">'Sprint 2'!$A$1:$L$1</definedName>
    <definedName name="Z_6AA72BB4_2771_4089_9215_89240984FA45_.wvu.FilterData" localSheetId="0" hidden="1">'Sprint 1'!$A$1:$L$5</definedName>
    <definedName name="Z_6AA72BB4_2771_4089_9215_89240984FA45_.wvu.FilterData" localSheetId="1" hidden="1">'Sprint 2'!$A$1:$L$1</definedName>
    <definedName name="Z_6B1B51D8_F477_461F_89C3_DEF3836F7AFF_.wvu.FilterData" localSheetId="0" hidden="1">'Sprint 1'!$A$1:$L$5</definedName>
    <definedName name="Z_6B1B51D8_F477_461F_89C3_DEF3836F7AFF_.wvu.FilterData" localSheetId="1" hidden="1">'Sprint 2'!$A$1:$L$1</definedName>
    <definedName name="Z_6FE58945_0405_492B_BFBA_7DD42AC5F70E_.wvu.FilterData" localSheetId="0" hidden="1">'Sprint 1'!$A$1:$L$5</definedName>
    <definedName name="Z_6FE58945_0405_492B_BFBA_7DD42AC5F70E_.wvu.FilterData" localSheetId="1" hidden="1">'Sprint 2'!$A$1:$L$1</definedName>
    <definedName name="Z_750F1C5F_CE9E_42D3_8262_575170F98B18_.wvu.FilterData" localSheetId="0" hidden="1">'Sprint 1'!$A$1:$L$5</definedName>
    <definedName name="Z_750F1C5F_CE9E_42D3_8262_575170F98B18_.wvu.FilterData" localSheetId="1" hidden="1">'Sprint 2'!$A$1:$L$1</definedName>
    <definedName name="Z_769E9D67_E91C_4BA9_9C7A_EC11BE5BFF97_.wvu.FilterData" localSheetId="0" hidden="1">'Sprint 1'!$A$1:$L$5</definedName>
    <definedName name="Z_769E9D67_E91C_4BA9_9C7A_EC11BE5BFF97_.wvu.FilterData" localSheetId="1" hidden="1">'Sprint 2'!$A$1:$L$1</definedName>
    <definedName name="Z_7944C9C4_6A3C_4279_BB3B_9792797F57D7_.wvu.FilterData" localSheetId="0" hidden="1">'Sprint 1'!$A$1:$L$5</definedName>
    <definedName name="Z_7944C9C4_6A3C_4279_BB3B_9792797F57D7_.wvu.FilterData" localSheetId="1" hidden="1">'Sprint 2'!$A$1:$L$1</definedName>
    <definedName name="Z_7EE2C0FF_BEC7_4622_B00C_D6DF0FE9906D_.wvu.FilterData" localSheetId="0" hidden="1">'Sprint 1'!$A$1:$L$5</definedName>
    <definedName name="Z_7EE2C0FF_BEC7_4622_B00C_D6DF0FE9906D_.wvu.FilterData" localSheetId="1" hidden="1">'Sprint 2'!$A$1:$L$1</definedName>
    <definedName name="Z_81B8045D_C3FD_4A72_ACBE_2375F9120B10_.wvu.FilterData" localSheetId="0" hidden="1">'Sprint 1'!$A$1:$L$5</definedName>
    <definedName name="Z_81B8045D_C3FD_4A72_ACBE_2375F9120B10_.wvu.FilterData" localSheetId="1" hidden="1">'Sprint 2'!$A$1:$L$1</definedName>
    <definedName name="Z_81D63D59_AD0E_4497_9172_4DDA7A8C3FD6_.wvu.FilterData" localSheetId="0" hidden="1">'Sprint 1'!$A$1:$L$5</definedName>
    <definedName name="Z_81D63D59_AD0E_4497_9172_4DDA7A8C3FD6_.wvu.FilterData" localSheetId="1" hidden="1">'Sprint 2'!$A$1:$L$1</definedName>
    <definedName name="Z_82014F1C_453D_4BCB_B854_9E1CEFF96F2C_.wvu.FilterData" localSheetId="0" hidden="1">'Sprint 1'!$A$1:$L$5</definedName>
    <definedName name="Z_82014F1C_453D_4BCB_B854_9E1CEFF96F2C_.wvu.FilterData" localSheetId="1" hidden="1">'Sprint 2'!$A$1:$L$1</definedName>
    <definedName name="Z_86B06D84_CB88_46CA_B834_6EB917D24414_.wvu.FilterData" localSheetId="0" hidden="1">'Sprint 1'!$A$1:$L$5</definedName>
    <definedName name="Z_86B06D84_CB88_46CA_B834_6EB917D24414_.wvu.FilterData" localSheetId="1" hidden="1">'Sprint 2'!$A$1:$L$1</definedName>
    <definedName name="Z_8881A73E_83CE_4952_BBE0_5F26B6FBB582_.wvu.FilterData" localSheetId="0" hidden="1">'Sprint 1'!$A$1:$L$5</definedName>
    <definedName name="Z_8881A73E_83CE_4952_BBE0_5F26B6FBB582_.wvu.FilterData" localSheetId="1" hidden="1">'Sprint 2'!$A$1:$L$1</definedName>
    <definedName name="Z_89BEFE4B_7046_4CF4_BCD1_03EB10F4C18F_.wvu.FilterData" localSheetId="0" hidden="1">'Sprint 1'!$A$1:$L$5</definedName>
    <definedName name="Z_89BEFE4B_7046_4CF4_BCD1_03EB10F4C18F_.wvu.FilterData" localSheetId="1" hidden="1">'Sprint 2'!$A$1:$L$1</definedName>
    <definedName name="Z_8D9374AE_DA71_4385_B349_58A3500DBC59_.wvu.FilterData" localSheetId="0" hidden="1">'Sprint 1'!$A$1:$L$5</definedName>
    <definedName name="Z_8D9374AE_DA71_4385_B349_58A3500DBC59_.wvu.FilterData" localSheetId="1" hidden="1">'Sprint 2'!$A$1:$L$1</definedName>
    <definedName name="Z_90754AB6_F022_4873_B39A_09AD344E9C85_.wvu.FilterData" localSheetId="0" hidden="1">'Sprint 1'!$A$1:$L$5</definedName>
    <definedName name="Z_90754AB6_F022_4873_B39A_09AD344E9C85_.wvu.FilterData" localSheetId="1" hidden="1">'Sprint 2'!$A$1:$L$1</definedName>
    <definedName name="Z_966DEB6E_4F2E_4BD6_AE7F_911B18DBD26E_.wvu.FilterData" localSheetId="0" hidden="1">'Sprint 1'!$A$1:$L$5</definedName>
    <definedName name="Z_966DEB6E_4F2E_4BD6_AE7F_911B18DBD26E_.wvu.FilterData" localSheetId="1" hidden="1">'Sprint 2'!$A$1:$L$1</definedName>
    <definedName name="Z_9C128F3C_1005_4F5D_A7F3_8A92E87AF9C7_.wvu.FilterData" localSheetId="0" hidden="1">'Sprint 1'!$A$1:$L$5</definedName>
    <definedName name="Z_9C128F3C_1005_4F5D_A7F3_8A92E87AF9C7_.wvu.FilterData" localSheetId="1" hidden="1">'Sprint 2'!$A$1:$L$1</definedName>
    <definedName name="Z_9CF507C8_601A_4088_ACA1_EEA117B46EF6_.wvu.FilterData" localSheetId="0" hidden="1">'Sprint 1'!$A$1:$L$5</definedName>
    <definedName name="Z_9CF507C8_601A_4088_ACA1_EEA117B46EF6_.wvu.FilterData" localSheetId="1" hidden="1">'Sprint 2'!$A$1:$L$1</definedName>
    <definedName name="Z_A2FDDEE0_B0E7_43A1_87D7_D71C312530D7_.wvu.FilterData" localSheetId="0" hidden="1">'Sprint 1'!$A$1:$L$5</definedName>
    <definedName name="Z_A2FDDEE0_B0E7_43A1_87D7_D71C312530D7_.wvu.FilterData" localSheetId="1" hidden="1">'Sprint 2'!$A$1:$L$1</definedName>
    <definedName name="Z_A6E23BE2_18EB_4BCA_8172_632A7529556A_.wvu.FilterData" localSheetId="0" hidden="1">'Sprint 1'!$A$1:$L$5</definedName>
    <definedName name="Z_A6E23BE2_18EB_4BCA_8172_632A7529556A_.wvu.FilterData" localSheetId="1" hidden="1">'Sprint 2'!$A$1:$L$1</definedName>
    <definedName name="Z_AA5D861E_7CBB_44FD_984D_D97D5CACDEED_.wvu.FilterData" localSheetId="0" hidden="1">'Sprint 1'!$A$1:$L$5</definedName>
    <definedName name="Z_AA5D861E_7CBB_44FD_984D_D97D5CACDEED_.wvu.FilterData" localSheetId="1" hidden="1">'Sprint 2'!$A$1:$L$1</definedName>
    <definedName name="Z_ACA80C67_A8BC_41C6_A1E9_9852B6797385_.wvu.FilterData" localSheetId="0" hidden="1">'Sprint 1'!$A$1:$L$5</definedName>
    <definedName name="Z_ACA80C67_A8BC_41C6_A1E9_9852B6797385_.wvu.FilterData" localSheetId="1" hidden="1">'Sprint 2'!$A$1:$L$1</definedName>
    <definedName name="Z_AF13BCDE_2F74_445F_BED4_EE203B6E8E38_.wvu.FilterData" localSheetId="0" hidden="1">'Sprint 1'!$A$1:$L$5</definedName>
    <definedName name="Z_AF13BCDE_2F74_445F_BED4_EE203B6E8E38_.wvu.FilterData" localSheetId="1" hidden="1">'Sprint 2'!$A$1:$L$1</definedName>
    <definedName name="Z_B00AC489_BFD3_45D2_B72F_2C67FC943CC3_.wvu.FilterData" localSheetId="0" hidden="1">'Sprint 1'!$A$1:$L$5</definedName>
    <definedName name="Z_B00AC489_BFD3_45D2_B72F_2C67FC943CC3_.wvu.FilterData" localSheetId="1" hidden="1">'Sprint 2'!$A$1:$L$1</definedName>
    <definedName name="Z_B3DCBAFC_CADD_49F4_93B9_B8B1D2FCEEB7_.wvu.FilterData" localSheetId="0" hidden="1">'Sprint 1'!$A$1:$L$5</definedName>
    <definedName name="Z_B3DCBAFC_CADD_49F4_93B9_B8B1D2FCEEB7_.wvu.FilterData" localSheetId="1" hidden="1">'Sprint 2'!$A$1:$L$1</definedName>
    <definedName name="Z_BD172EA1_9956_4ED1_B00A_C2495CDF2A8D_.wvu.FilterData" localSheetId="0" hidden="1">'Sprint 1'!$A$1:$L$5</definedName>
    <definedName name="Z_BD172EA1_9956_4ED1_B00A_C2495CDF2A8D_.wvu.FilterData" localSheetId="1" hidden="1">'Sprint 2'!$A$1:$L$1</definedName>
    <definedName name="Z_CC33035B_A7F3_420F_AB31_BF7C06FDF46E_.wvu.FilterData" localSheetId="0" hidden="1">'Sprint 1'!$A$1:$L$5</definedName>
    <definedName name="Z_CC33035B_A7F3_420F_AB31_BF7C06FDF46E_.wvu.FilterData" localSheetId="1" hidden="1">'Sprint 2'!$A$1:$L$1</definedName>
    <definedName name="Z_CF7B7634_C2C4_454E_A510_CE98FAAE9CC4_.wvu.FilterData" localSheetId="0" hidden="1">'Sprint 1'!$A$1:$L$5</definedName>
    <definedName name="Z_CF7B7634_C2C4_454E_A510_CE98FAAE9CC4_.wvu.FilterData" localSheetId="1" hidden="1">'Sprint 2'!$A$1:$L$1</definedName>
    <definedName name="Z_D03F2D3F_9178_466A_9441_3892CEA09C0D_.wvu.FilterData" localSheetId="0" hidden="1">'Sprint 1'!$A$1:$L$5</definedName>
    <definedName name="Z_D03F2D3F_9178_466A_9441_3892CEA09C0D_.wvu.FilterData" localSheetId="1" hidden="1">'Sprint 2'!$A$1:$L$1</definedName>
    <definedName name="Z_D5CB6103_D023_4B64_BAC8_7004E07AC653_.wvu.FilterData" localSheetId="0" hidden="1">'Sprint 1'!$A$1:$L$5</definedName>
    <definedName name="Z_D5CB6103_D023_4B64_BAC8_7004E07AC653_.wvu.FilterData" localSheetId="1" hidden="1">'Sprint 2'!$A$1:$L$1</definedName>
    <definedName name="Z_DA03473B_73F9_4B2E_BEC9_E71B189C2B39_.wvu.FilterData" localSheetId="0" hidden="1">'Sprint 1'!$A$1:$L$5</definedName>
    <definedName name="Z_DA03473B_73F9_4B2E_BEC9_E71B189C2B39_.wvu.FilterData" localSheetId="1" hidden="1">'Sprint 2'!$A$1:$L$1</definedName>
    <definedName name="Z_E09C709C_9792_4914_B179_6B0AD4C09748_.wvu.FilterData" localSheetId="0" hidden="1">'Sprint 1'!$A$1:$L$5</definedName>
    <definedName name="Z_E09C709C_9792_4914_B179_6B0AD4C09748_.wvu.FilterData" localSheetId="1" hidden="1">'Sprint 2'!$A$1:$L$1</definedName>
    <definedName name="Z_E3B48E65_AF07_47B0_A35E_5944AF114BF3_.wvu.FilterData" localSheetId="0" hidden="1">'Sprint 1'!$A$1:$L$5</definedName>
    <definedName name="Z_E3B48E65_AF07_47B0_A35E_5944AF114BF3_.wvu.FilterData" localSheetId="1" hidden="1">'Sprint 2'!$A$1:$L$1</definedName>
    <definedName name="Z_EECC9BD5_8FB3_4383_9C55_9296B70552E0_.wvu.FilterData" localSheetId="0" hidden="1">'Sprint 1'!$A$1:$L$5</definedName>
    <definedName name="Z_EECC9BD5_8FB3_4383_9C55_9296B70552E0_.wvu.FilterData" localSheetId="1" hidden="1">'Sprint 2'!$A$1:$L$1</definedName>
    <definedName name="Z_F08384AD_6AC3_4E8B_8625_00B5F77DFF4F_.wvu.FilterData" localSheetId="0" hidden="1">'Sprint 1'!$A$1:$L$5</definedName>
    <definedName name="Z_F08384AD_6AC3_4E8B_8625_00B5F77DFF4F_.wvu.FilterData" localSheetId="1" hidden="1">'Sprint 2'!$A$1:$L$1</definedName>
    <definedName name="Z_FB5E95D8_FEC5_4253_A86C_AD9001EE405A_.wvu.FilterData" localSheetId="0" hidden="1">'Sprint 1'!$A$1:$L$5</definedName>
    <definedName name="Z_FB5E95D8_FEC5_4253_A86C_AD9001EE405A_.wvu.FilterData" localSheetId="1" hidden="1">'Sprint 2'!$A$1:$L$1</definedName>
  </definedNames>
  <calcPr calcId="191029"/>
  <customWorkbookViews>
    <customWorkbookView name="PC - Personal View" guid="{9C128F3C-1005-4F5D-A7F3-8A92E87AF9C7}" mergeInterval="0" personalView="1" maximized="1" xWindow="-8" yWindow="-8" windowWidth="1382" windowHeight="744" activeSheetId="6"/>
    <customWorkbookView name="Reyes, Kristine Buena Charmaigne - Personal View" guid="{0CAC5EF8-D053-42E4-9439-91EA5D5955C7}" mergeInterval="0" personalView="1" maximized="1" xWindow="-8" yWindow="-8" windowWidth="1936" windowHeight="1056" activeSheetId="6"/>
    <customWorkbookView name="Agbayani, Jay-Ar - Personal View" guid="{47694F39-2DAD-492F-AB64-1530024F138E}" mergeInterval="0" personalView="1" maximized="1" xWindow="1912" yWindow="-8" windowWidth="1936" windowHeight="1056" activeSheetId="6"/>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 i="6" l="1"/>
  <c r="A3" i="6" s="1"/>
  <c r="A4" i="6" s="1"/>
  <c r="A5" i="6" s="1"/>
</calcChain>
</file>

<file path=xl/sharedStrings.xml><?xml version="1.0" encoding="utf-8"?>
<sst xmlns="http://schemas.openxmlformats.org/spreadsheetml/2006/main" count="168" uniqueCount="90">
  <si>
    <t>Status</t>
  </si>
  <si>
    <t>Steps</t>
  </si>
  <si>
    <t>Description</t>
  </si>
  <si>
    <t>Expected Results</t>
  </si>
  <si>
    <t>Feature</t>
  </si>
  <si>
    <t>Iteration</t>
  </si>
  <si>
    <t>Pre-Requisites</t>
  </si>
  <si>
    <t>Test Case ID</t>
  </si>
  <si>
    <t>Actual Results</t>
  </si>
  <si>
    <t xml:space="preserve"> Issue(s)</t>
  </si>
  <si>
    <t>Sub-Feature</t>
  </si>
  <si>
    <t>Owner</t>
  </si>
  <si>
    <t>Role(s)</t>
  </si>
  <si>
    <t>Login Page</t>
  </si>
  <si>
    <t>Login using valid credentials</t>
  </si>
  <si>
    <t>Login using non existing credentials</t>
  </si>
  <si>
    <t>Registered User</t>
  </si>
  <si>
    <t>Visitor</t>
  </si>
  <si>
    <t>Login without inputting any credentials</t>
  </si>
  <si>
    <t>Login failed.
Will prompt message saying "Please fill up mandatory fields".</t>
  </si>
  <si>
    <t>Stable internet connection
Browser</t>
  </si>
  <si>
    <t>Login using correct email address but invalid password</t>
  </si>
  <si>
    <t>Login using invalid email address but correct password</t>
  </si>
  <si>
    <t>Any email address and password that is not registered into the system
Stable internet connection
Browser</t>
  </si>
  <si>
    <t>Registered email address
Any unregistered password
Stable internet connection
Browser</t>
  </si>
  <si>
    <t>Any unregistered email address
Registered password
Stable internet connection
Browser</t>
  </si>
  <si>
    <t>Login is successful.
User is redirected to the homepage of MarkUp.</t>
  </si>
  <si>
    <t>Passed</t>
  </si>
  <si>
    <t>Jefferson Salvador</t>
  </si>
  <si>
    <t>Login using correct contact number but invalid password</t>
  </si>
  <si>
    <t>Registered contact number
Any unregistered password
Stable internet connection
Browser</t>
  </si>
  <si>
    <t>Login failed.
Will prompt message saying "Incorrect email address/contact number or password"
User is redirected to login page of MarkUp.</t>
  </si>
  <si>
    <t>1. Navigate to MarkUp homepage
2. Click Login button. 
3. Input registered email/contact number on the email/contact number field. 
4. Input registered password on the password field.
5. Click Login button or Click enter from the keyboard.</t>
  </si>
  <si>
    <t>Issue 1: Message should be "Incorrect email address/contact number or password"</t>
  </si>
  <si>
    <t>ITERATION 1 (November 5, 2020):
Login is successful.
User is redirected to the homepage of MarkUp.</t>
  </si>
  <si>
    <t>ITERATION 1 (November 5, 2020):
Login failed.
Prompt message saying "Please fill up mandatory fields".</t>
  </si>
  <si>
    <t>Stable internet connection
Browser
Registered contact number/email address and password</t>
  </si>
  <si>
    <t>1. Navigate to MarkUp homepage
2. Click Login button. 
3. Input contact number  on the email/contact number field. 
4. Input unregistered password on the password field.
5. Click Login button or click enter from the keyboard.</t>
  </si>
  <si>
    <t>1. Navigate to MarkUp homepage
2. Click Login button. 
3. Click Login button or click enter from the keyboard.</t>
  </si>
  <si>
    <t>1. Navigate to MarkUp homepage
2. Click Login button. 
3. Input unregistered email address  on the email field. 
4. Input registered password on the password field.
5. Click Login button or click enter from the keyboard.</t>
  </si>
  <si>
    <t>1. Navigate to MarkUp homepage
2. Click Login button. 
3. Input registered email address  on the email field. 
4. Input unregistered password on the password field.
5. Click Login button or click enter from the keyboard.</t>
  </si>
  <si>
    <t>1. Navigate to MarkUp homepage
2. Click Login button. 
3. Input unregistered email address on the email field. 
4. Input unregistered password on the password field.
5. Click Login button or click enter from the keyboard.</t>
  </si>
  <si>
    <t>Signup Page</t>
  </si>
  <si>
    <t xml:space="preserve">Signing up by inputting valid credentials. </t>
  </si>
  <si>
    <t>Stable internet connection
Browser
Active mobile number/ email address</t>
  </si>
  <si>
    <t>1. Navigate to MarkUp homepage
2. Click Sign up button. 
3. Input first name in the first name text field. 
4. Input last name in the last name text field. 
5. Input 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</si>
  <si>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Issue 1: Message should be "Incorrect email address/contact number or password"
Issue 2: No error message</t>
  </si>
  <si>
    <t>ITERATION 1 (November 5, 2020):
Login failed.
Prompt message saying "Incorrect email address"
User is redirected to login page of MarkUp.
ITERATION 2 (November 9, 2020):
Login failed.
Prompt message saying "Incorrect email address/contact number or password"
User is redirected to login page of MarkUp.</t>
  </si>
  <si>
    <t>Login button will be log out button after successfully logging in</t>
  </si>
  <si>
    <t>Login is successful.
User is redirected to the homepage of MarkUp.
Login text will change to logout text</t>
  </si>
  <si>
    <t>ITERATION 1 (November 9, 2020):
Login is successful.
User is redirected to the homepage of MarkUp.
Login text changed to logout text</t>
  </si>
  <si>
    <t>ITERATION 1 (November 5, 2020):
Login failed.
Prompt message saying "Incorrect password"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</si>
  <si>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ITERATION 1 (November 5, 2020):
Login failed.
Prompt message saying "Incorrect email address/contact number"
User is redirected to login page of MarkUp.
ITERATION 2 (November 9, 2020):
Login failed.
No error message pop out.
User is redirected to home/login page of MarkUp.
ITERATION 3 (November 9, 2020):
Login failed.
Prompt message saying "Incorrect email address/contact number or password"
User is redirected to login page of MarkUp.</t>
  </si>
  <si>
    <t>Signup is successful.
Will prompt message, "Successfully signed up"
User is redirected to the login page of MarkUp.</t>
  </si>
  <si>
    <t>Issue 1: No prompted message
Issue 2: User redirected to signup page</t>
  </si>
  <si>
    <t>1. Navigate to MarkUp homepage
2. Click Sign up button. 
3. Input first name in the first name text field. 
4. Input last name in the last name text field. 
5. Input invalid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</si>
  <si>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"Please input valid mobile number"
User is redirected to the signup page of MarkUp.</t>
  </si>
  <si>
    <t>ITERATION 1 (December 1, 2020):
Signup is failed.
Will prompt message, "Please input valid mobile number"
User is redirected to the signup page of MarkUp.</t>
  </si>
  <si>
    <t xml:space="preserve">Signing up by inputting invalid email. (without @gmail.com, @yahoo.com etc) </t>
  </si>
  <si>
    <t>Stable internet connection
Browser
Active email address</t>
  </si>
  <si>
    <t>Stable internet connection
Browser
Active mobile number</t>
  </si>
  <si>
    <t>1. Navigate to MarkUp homepage
2. Click Sign up button. 
3. Input first name in the first name text field. 
4. Input last name in the last name text field. 
5. Input valid contact number in the contact number text field. 
6.  Input invalid email address in the email address text field. 
7. Input password in the password text field. 
8. Input repeat password in the repeat password text field. 
9. Click Sign up button or click enter from the keyboard.</t>
  </si>
  <si>
    <t>Signup is failed.
Will prompt message, "Please input valid email address"
User is redirected to the signup page of MarkUp.</t>
  </si>
  <si>
    <t>ITERATION 1 (December 1, 2020):
Signup is failed.
Will prompt message, "Please input valid email address"
User is redirected to the signup page of MarkUp.</t>
  </si>
  <si>
    <t>Signing up without inputting any credentials</t>
  </si>
  <si>
    <t>1. Navigate to MarkUp homepage
2. Click Sign up button. 
3. Click Sign up button or click enter from the keyboard.</t>
  </si>
  <si>
    <t>Signup is failed.
Will prompt message, "Please fill up required fields"
User is redirected to the signup page of MarkUp.</t>
  </si>
  <si>
    <t>ITERATION 1 (December 1, 2020):
Signup is failed.
Will prompt message, "Please fill up required fields"
User is redirected to the signup page of MarkUp.</t>
  </si>
  <si>
    <t>Signing up with registered mobile number</t>
  </si>
  <si>
    <t>1. Navigate to MarkUp homepage
2. Click Sign up button. 
3. Input first name in the first name text field. 
4. Input last name in the last name text field. 
5. Input registered contact number in the contact number text field. 
6.  Input valid email address in the email address text field. 
7. Input password in the password text field. 
8. Input repeat password in the repeat password text field. 
9. Click Sign up button or click enter from the keyboard.</t>
  </si>
  <si>
    <t>Signup is failed.
Will prompt message, "Mobile number already exists"
User is redirected to the signup page of MarkUp.</t>
  </si>
  <si>
    <t>ITERATION 1 (December 1, 2020):
Signup is failed.
Will prompt message, "Email address already exists"
User is redirected to the signup page of MarkUp.</t>
  </si>
  <si>
    <t>Issue 1: Wrong error message</t>
  </si>
  <si>
    <t>Signing up with registered email address</t>
  </si>
  <si>
    <t>1. Navigate to MarkUp homepage
2. Click Sign up button. 
3. Input first name in the first name text field. 
4. Input last name in the last name text field. 
5. Input valid contact number in the contact number text field. 
6.  Input registered email address in the email address text field. 
7. Input password in the password text field. 
8. Input repeat password in the repeat password text field. 
9. Click Sign up button or click enter from the keyboard.</t>
  </si>
  <si>
    <t>Signing up by inputting less than 11 mobile number digits</t>
  </si>
  <si>
    <t>Signup is failed.
Will prompt message, "Email address already exists"
User is redirected to the signup page of MarkUp.</t>
  </si>
  <si>
    <t>Signing up with invalid mobile number format</t>
  </si>
  <si>
    <t>Signup is failed.
Will prompt message, "Invalid mobile number"
User is redirected to the signup page of MarkUp.</t>
  </si>
  <si>
    <t>Issue 1: 
Sign up is successful
Issue2: 
No error message</t>
  </si>
  <si>
    <t>ITERATION 1 (December 1, 2020):
Signup is successful.
Didn't prompt message, "Successfully signed up"
User is redirected to the sign up page of MarkUp.
ITERATION 2 (December 2, 2020):
Signup is successful.
Prompt message, "Successfully signed up"
User is redirected to the login page of MarkUp.</t>
  </si>
  <si>
    <t>ITERATION 1 (December 1, 2020):
Signup is failed.
Will prompt message, "Email address already exists"
User is redirected to the signup page of MarkUp.
ITERATION 2 (December 2, 2020):
Signup is failed.
Will prompt message, "Mobile number already exists"
User is redirected to the signup page of MarkUp.</t>
  </si>
  <si>
    <t>ITERATION 1 (December 1, 2020):
Signup is successful.
No error message
User is redirected to the signup page of MarkUp.
ITERATION 2 (December 2, 2020):
Signup is failed.
Will prompt message, "Invalid mobile number"
User is redirected to the signup page of MarkUp.</t>
  </si>
  <si>
    <t>Admin Page (Table of Users)</t>
  </si>
  <si>
    <t>Displays table of users</t>
  </si>
  <si>
    <t>Admin</t>
  </si>
  <si>
    <t>Stable internet connection
Browser
Registered mobile number/ email address</t>
  </si>
  <si>
    <t>1. Navigate to MarkUp homepage
2. Click Login button. 
3. Input registered email/contact number on the email/contact number field. 
4. Input registered password on the password field.
5. Click Login button or Click enter from the keyboard.
6. Click tables - user tables</t>
  </si>
  <si>
    <t>Display table of user</t>
  </si>
  <si>
    <t>ITERATION 1 (December 2, 2020):
Display table of users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</si>
</sst>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0"/>
      <name val="Arial"/>
      <family val="2"/>
    </font>
    <font>
      <sz val="10"/>
      <name val="Calibri"/>
      <family val="2"/>
      <scheme val="minor"/>
    </font>
    <font>
      <b/>
      <sz val="10"/>
      <color theme="0"/>
      <name val="Calibri"/>
      <family val="2"/>
      <scheme val="minor"/>
    </font>
    <font>
      <sz val="10"/>
      <color theme="1"/>
      <name val="Calibri"/>
      <family val="2"/>
      <scheme val="minor"/>
    </font>
    <font>
      <b/>
      <sz val="10"/>
      <color theme="1"/>
      <name val="Calibri"/>
      <family val="2"/>
      <scheme val="minor"/>
    </font>
  </fonts>
  <fills count="3">
    <fill>
      <patternFill patternType="none"/>
    </fill>
    <fill>
      <patternFill patternType="gray125"/>
    </fill>
    <fill>
      <patternFill patternType="solid">
        <fgColor rgb="FF00206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1" fillId="0" borderId="0"/>
  </cellStyleXfs>
  <cellXfs count="14">
    <xf numFmtId="0" fontId="0" fillId="0" borderId="0" xfId="0"/>
    <xf numFmtId="0" fontId="4" fillId="0" borderId="0" xfId="0" applyFont="1" applyFill="1" applyBorder="1" applyAlignment="1">
      <alignment horizontal="left" vertical="top" wrapText="1"/>
    </xf>
    <xf numFmtId="0" fontId="4" fillId="0" borderId="1" xfId="0" applyFont="1" applyFill="1" applyBorder="1" applyAlignment="1">
      <alignment horizontal="left" vertical="top" wrapText="1"/>
    </xf>
    <xf numFmtId="0" fontId="4" fillId="0" borderId="1" xfId="0" applyFont="1" applyFill="1" applyBorder="1" applyAlignment="1">
      <alignment horizontal="center" vertical="top" wrapText="1"/>
    </xf>
    <xf numFmtId="0" fontId="2" fillId="0" borderId="1" xfId="0" applyFont="1" applyFill="1" applyBorder="1" applyAlignment="1">
      <alignment horizontal="center" vertical="top" wrapText="1"/>
    </xf>
    <xf numFmtId="0" fontId="4" fillId="0" borderId="0" xfId="0" applyFont="1" applyFill="1" applyBorder="1" applyAlignment="1">
      <alignment horizontal="center" vertical="top" wrapText="1"/>
    </xf>
    <xf numFmtId="0" fontId="5" fillId="0" borderId="1" xfId="0" applyFont="1" applyFill="1" applyBorder="1" applyAlignment="1">
      <alignment horizontal="left" vertical="top" wrapText="1"/>
    </xf>
    <xf numFmtId="0" fontId="3" fillId="2" borderId="2" xfId="0" applyFont="1" applyFill="1" applyBorder="1" applyAlignment="1">
      <alignment horizontal="center" vertical="center" wrapText="1"/>
    </xf>
    <xf numFmtId="0" fontId="4" fillId="0" borderId="0" xfId="0" applyFont="1" applyAlignment="1">
      <alignment horizontal="center" vertical="center" wrapText="1"/>
    </xf>
    <xf numFmtId="0" fontId="4" fillId="0" borderId="0" xfId="0" applyFont="1" applyFill="1" applyBorder="1" applyAlignment="1">
      <alignment wrapText="1"/>
    </xf>
    <xf numFmtId="0" fontId="5" fillId="0" borderId="0" xfId="0" applyFont="1" applyFill="1" applyBorder="1" applyAlignment="1">
      <alignment horizontal="left" vertical="top" wrapText="1"/>
    </xf>
    <xf numFmtId="49" fontId="3" fillId="2" borderId="2" xfId="0" applyNumberFormat="1" applyFont="1" applyFill="1" applyBorder="1" applyAlignment="1">
      <alignment horizontal="center" vertical="center" wrapText="1"/>
    </xf>
    <xf numFmtId="49" fontId="4" fillId="0" borderId="0" xfId="0" applyNumberFormat="1" applyFont="1" applyFill="1" applyBorder="1" applyAlignment="1">
      <alignment horizontal="left" vertical="top" wrapText="1"/>
    </xf>
    <xf numFmtId="0" fontId="3" fillId="2" borderId="2" xfId="0" applyFont="1" applyFill="1" applyBorder="1" applyAlignment="1">
      <alignment horizontal="center" vertical="center" wrapText="1"/>
    </xf>
  </cellXfs>
  <cellStyles count="2">
    <cellStyle name="Normal" xfId="0" builtinId="0"/>
    <cellStyle name="Normal 2" xfId="1" xr:uid="{00000000-0005-0000-0000-000001000000}"/>
  </cellStyles>
  <dxfs count="46">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theme="3"/>
      </font>
      <fill>
        <patternFill>
          <bgColor theme="3" tint="0.79998168889431442"/>
        </patternFill>
      </fill>
    </dxf>
    <dxf>
      <font>
        <color rgb="FF9C0006"/>
      </font>
      <fill>
        <patternFill>
          <bgColor rgb="FFFFC7CE"/>
        </patternFill>
      </fill>
    </dxf>
    <dxf>
      <font>
        <color rgb="FF006100"/>
      </font>
      <fill>
        <patternFill>
          <bgColor rgb="FFC6EFCE"/>
        </patternFill>
      </fill>
    </dxf>
    <dxf>
      <font>
        <color rgb="FF9C6500"/>
      </font>
      <fill>
        <patternFill>
          <bgColor rgb="FFFFEB9C"/>
        </patternFill>
      </fill>
    </dxf>
    <dxf>
      <fill>
        <patternFill>
          <bgColor theme="0" tint="-0.14996795556505021"/>
        </patternFill>
      </fill>
    </dxf>
  </dxfs>
  <tableStyles count="0" defaultTableStyle="TableStyleMedium2" defaultPivotStyle="PivotStyleLight16"/>
  <colors>
    <mruColors>
      <color rgb="FFFFEB9C"/>
      <color rgb="FFEEE310"/>
      <color rgb="FFFFCCCC"/>
      <color rgb="FFFF9999"/>
      <color rgb="FF0D12CD"/>
      <color rgb="FF00FF00"/>
      <color rgb="FFFF9900"/>
      <color rgb="FF00CC66"/>
      <color rgb="FF169A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M17"/>
  <sheetViews>
    <sheetView tabSelected="1" zoomScale="130" zoomScaleNormal="130" workbookViewId="0">
      <pane ySplit="1" topLeftCell="A2" activePane="bottomLeft" state="frozen"/>
      <selection pane="bottomLeft" activeCell="D21" sqref="D21"/>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7" t="s">
        <v>7</v>
      </c>
      <c r="B1" s="7" t="s">
        <v>4</v>
      </c>
      <c r="C1" s="7" t="s">
        <v>10</v>
      </c>
      <c r="D1" s="7" t="s">
        <v>2</v>
      </c>
      <c r="E1" s="7" t="s">
        <v>12</v>
      </c>
      <c r="F1" s="7" t="s">
        <v>6</v>
      </c>
      <c r="G1" s="7" t="s">
        <v>1</v>
      </c>
      <c r="H1" s="7" t="s">
        <v>3</v>
      </c>
      <c r="I1" s="7" t="s">
        <v>5</v>
      </c>
      <c r="J1" s="7" t="s">
        <v>0</v>
      </c>
      <c r="K1" s="7" t="s">
        <v>8</v>
      </c>
      <c r="L1" s="11" t="s">
        <v>9</v>
      </c>
      <c r="M1" s="13" t="s">
        <v>11</v>
      </c>
    </row>
    <row r="2" spans="1:13" s="1" customFormat="1" ht="63.75" x14ac:dyDescent="0.25">
      <c r="A2" s="6">
        <f>1</f>
        <v>1</v>
      </c>
      <c r="B2" s="2" t="s">
        <v>13</v>
      </c>
      <c r="C2" s="2"/>
      <c r="D2" s="2" t="s">
        <v>14</v>
      </c>
      <c r="E2" s="3" t="s">
        <v>16</v>
      </c>
      <c r="F2" s="2" t="s">
        <v>36</v>
      </c>
      <c r="G2" s="2" t="s">
        <v>32</v>
      </c>
      <c r="H2" s="2" t="s">
        <v>26</v>
      </c>
      <c r="I2" s="4">
        <v>1</v>
      </c>
      <c r="J2" s="3" t="s">
        <v>27</v>
      </c>
      <c r="K2" s="2" t="s">
        <v>34</v>
      </c>
      <c r="L2" s="2"/>
      <c r="M2" s="2" t="s">
        <v>28</v>
      </c>
    </row>
    <row r="3" spans="1:13" s="1" customFormat="1" ht="108" customHeight="1" x14ac:dyDescent="0.25">
      <c r="A3" s="6">
        <f>1+A2</f>
        <v>2</v>
      </c>
      <c r="B3" s="2" t="s">
        <v>13</v>
      </c>
      <c r="C3" s="2"/>
      <c r="D3" s="2" t="s">
        <v>48</v>
      </c>
      <c r="E3" s="3" t="s">
        <v>16</v>
      </c>
      <c r="F3" s="2" t="s">
        <v>86</v>
      </c>
      <c r="G3" s="2" t="s">
        <v>32</v>
      </c>
      <c r="H3" s="2" t="s">
        <v>49</v>
      </c>
      <c r="I3" s="4">
        <v>1</v>
      </c>
      <c r="J3" s="3" t="s">
        <v>27</v>
      </c>
      <c r="K3" s="2" t="s">
        <v>50</v>
      </c>
      <c r="L3" s="3"/>
      <c r="M3" s="2" t="s">
        <v>28</v>
      </c>
    </row>
    <row r="4" spans="1:13" s="1" customFormat="1" ht="114.75" x14ac:dyDescent="0.25">
      <c r="A4" s="6">
        <f t="shared" ref="A4" si="0">1+A3</f>
        <v>3</v>
      </c>
      <c r="B4" s="2" t="s">
        <v>13</v>
      </c>
      <c r="C4" s="2"/>
      <c r="D4" s="2" t="s">
        <v>15</v>
      </c>
      <c r="E4" s="3" t="s">
        <v>17</v>
      </c>
      <c r="F4" s="2" t="s">
        <v>23</v>
      </c>
      <c r="G4" s="2" t="s">
        <v>41</v>
      </c>
      <c r="H4" s="2" t="s">
        <v>31</v>
      </c>
      <c r="I4" s="4">
        <v>2</v>
      </c>
      <c r="J4" s="3" t="s">
        <v>27</v>
      </c>
      <c r="K4" s="2" t="s">
        <v>47</v>
      </c>
      <c r="L4" s="3" t="s">
        <v>33</v>
      </c>
      <c r="M4" s="2" t="s">
        <v>28</v>
      </c>
    </row>
    <row r="5" spans="1:13" s="1" customFormat="1" ht="178.5" x14ac:dyDescent="0.25">
      <c r="A5" s="6">
        <f t="shared" ref="A5" si="1">1+A4</f>
        <v>4</v>
      </c>
      <c r="B5" s="2" t="s">
        <v>13</v>
      </c>
      <c r="C5" s="2"/>
      <c r="D5" s="2" t="s">
        <v>21</v>
      </c>
      <c r="E5" s="3" t="s">
        <v>16</v>
      </c>
      <c r="F5" s="2" t="s">
        <v>24</v>
      </c>
      <c r="G5" s="2" t="s">
        <v>40</v>
      </c>
      <c r="H5" s="2" t="s">
        <v>31</v>
      </c>
      <c r="I5" s="4">
        <v>3</v>
      </c>
      <c r="J5" s="3" t="s">
        <v>27</v>
      </c>
      <c r="K5" s="2" t="s">
        <v>51</v>
      </c>
      <c r="L5" s="3" t="s">
        <v>46</v>
      </c>
      <c r="M5" s="2" t="s">
        <v>28</v>
      </c>
    </row>
    <row r="6" spans="1:13" ht="178.5" x14ac:dyDescent="0.2">
      <c r="A6" s="6">
        <v>5</v>
      </c>
      <c r="B6" s="2" t="s">
        <v>13</v>
      </c>
      <c r="C6" s="2"/>
      <c r="D6" s="2" t="s">
        <v>22</v>
      </c>
      <c r="E6" s="3" t="s">
        <v>16</v>
      </c>
      <c r="F6" s="2" t="s">
        <v>25</v>
      </c>
      <c r="G6" s="2" t="s">
        <v>39</v>
      </c>
      <c r="H6" s="2" t="s">
        <v>31</v>
      </c>
      <c r="I6" s="4">
        <v>3</v>
      </c>
      <c r="J6" s="3" t="s">
        <v>27</v>
      </c>
      <c r="K6" s="2" t="s">
        <v>52</v>
      </c>
      <c r="L6" s="3" t="s">
        <v>46</v>
      </c>
      <c r="M6" s="2" t="s">
        <v>28</v>
      </c>
    </row>
    <row r="7" spans="1:13" ht="38.25" x14ac:dyDescent="0.2">
      <c r="A7" s="6">
        <v>6</v>
      </c>
      <c r="B7" s="2" t="s">
        <v>13</v>
      </c>
      <c r="C7" s="2"/>
      <c r="D7" s="2" t="s">
        <v>18</v>
      </c>
      <c r="E7" s="3" t="s">
        <v>17</v>
      </c>
      <c r="F7" s="2" t="s">
        <v>20</v>
      </c>
      <c r="G7" s="2" t="s">
        <v>38</v>
      </c>
      <c r="H7" s="2" t="s">
        <v>19</v>
      </c>
      <c r="I7" s="4">
        <v>1</v>
      </c>
      <c r="J7" s="3" t="s">
        <v>27</v>
      </c>
      <c r="K7" s="2" t="s">
        <v>35</v>
      </c>
      <c r="L7" s="3"/>
      <c r="M7" s="2" t="s">
        <v>28</v>
      </c>
    </row>
    <row r="8" spans="1:13" ht="178.5" x14ac:dyDescent="0.2">
      <c r="A8" s="6">
        <v>7</v>
      </c>
      <c r="B8" s="2" t="s">
        <v>13</v>
      </c>
      <c r="C8" s="2"/>
      <c r="D8" s="2" t="s">
        <v>29</v>
      </c>
      <c r="E8" s="3" t="s">
        <v>16</v>
      </c>
      <c r="F8" s="2" t="s">
        <v>30</v>
      </c>
      <c r="G8" s="2" t="s">
        <v>37</v>
      </c>
      <c r="H8" s="2" t="s">
        <v>31</v>
      </c>
      <c r="I8" s="4">
        <v>3</v>
      </c>
      <c r="J8" s="3" t="s">
        <v>27</v>
      </c>
      <c r="K8" s="2" t="s">
        <v>51</v>
      </c>
      <c r="L8" s="3" t="s">
        <v>46</v>
      </c>
      <c r="M8" s="2" t="s">
        <v>28</v>
      </c>
    </row>
    <row r="9" spans="1:13" x14ac:dyDescent="0.2">
      <c r="A9" s="9"/>
      <c r="B9" s="9"/>
      <c r="C9" s="9"/>
      <c r="D9" s="9"/>
      <c r="E9" s="9"/>
      <c r="F9" s="9"/>
      <c r="G9" s="9"/>
      <c r="H9" s="9"/>
      <c r="I9" s="9"/>
      <c r="J9" s="9"/>
      <c r="K9" s="9"/>
      <c r="L9" s="9"/>
    </row>
    <row r="10" spans="1:13" x14ac:dyDescent="0.2">
      <c r="A10" s="9"/>
      <c r="B10" s="9"/>
      <c r="C10" s="9"/>
      <c r="D10" s="9"/>
      <c r="E10" s="9"/>
      <c r="F10" s="9"/>
      <c r="G10" s="9"/>
      <c r="H10" s="9"/>
      <c r="I10" s="9"/>
      <c r="J10" s="9"/>
      <c r="K10" s="9"/>
      <c r="L10" s="9"/>
    </row>
    <row r="11" spans="1:13" x14ac:dyDescent="0.2">
      <c r="A11" s="9"/>
      <c r="B11" s="9"/>
      <c r="C11" s="9"/>
      <c r="D11" s="9"/>
      <c r="E11" s="9"/>
      <c r="F11" s="9"/>
      <c r="G11" s="9"/>
      <c r="H11" s="9"/>
      <c r="I11" s="9"/>
      <c r="J11" s="9"/>
      <c r="K11" s="9"/>
      <c r="L11" s="9"/>
    </row>
    <row r="12" spans="1:13" x14ac:dyDescent="0.2">
      <c r="A12" s="9"/>
      <c r="B12" s="9"/>
      <c r="C12" s="9"/>
      <c r="D12" s="9"/>
      <c r="E12" s="9"/>
      <c r="F12" s="9"/>
      <c r="G12" s="9"/>
      <c r="H12" s="9"/>
      <c r="I12" s="9"/>
      <c r="J12" s="9"/>
      <c r="K12" s="9"/>
      <c r="L12" s="9"/>
    </row>
    <row r="13" spans="1:13" x14ac:dyDescent="0.2">
      <c r="A13" s="9"/>
      <c r="B13" s="9"/>
      <c r="C13" s="9"/>
      <c r="D13" s="9"/>
      <c r="E13" s="9"/>
      <c r="F13" s="9"/>
      <c r="G13" s="9"/>
      <c r="H13" s="9"/>
      <c r="I13" s="9"/>
      <c r="J13" s="9"/>
      <c r="K13" s="9"/>
      <c r="L13" s="9"/>
    </row>
    <row r="14" spans="1:13" x14ac:dyDescent="0.2">
      <c r="A14" s="9"/>
      <c r="B14" s="9"/>
      <c r="C14" s="9"/>
      <c r="D14" s="9"/>
      <c r="E14" s="9"/>
      <c r="F14" s="9"/>
      <c r="G14" s="9"/>
      <c r="H14" s="9"/>
      <c r="I14" s="9"/>
      <c r="J14" s="9"/>
      <c r="K14" s="9"/>
      <c r="L14" s="9"/>
    </row>
    <row r="15" spans="1:13" x14ac:dyDescent="0.2">
      <c r="A15" s="9"/>
      <c r="B15" s="9"/>
      <c r="C15" s="9"/>
      <c r="D15" s="9"/>
      <c r="E15" s="9"/>
      <c r="F15" s="9"/>
      <c r="G15" s="9"/>
      <c r="H15" s="9"/>
      <c r="I15" s="9"/>
      <c r="J15" s="9"/>
      <c r="K15" s="9"/>
      <c r="L15" s="9"/>
    </row>
    <row r="16" spans="1:13" x14ac:dyDescent="0.2">
      <c r="A16" s="9"/>
      <c r="B16" s="9"/>
      <c r="C16" s="9"/>
      <c r="D16" s="9"/>
      <c r="E16" s="9"/>
      <c r="F16" s="9"/>
      <c r="G16" s="9"/>
      <c r="H16" s="9"/>
      <c r="I16" s="9"/>
      <c r="J16" s="9"/>
      <c r="K16" s="9"/>
      <c r="L16" s="9"/>
    </row>
    <row r="17" spans="1:12" x14ac:dyDescent="0.2">
      <c r="A17" s="9"/>
      <c r="B17" s="9"/>
      <c r="C17" s="9"/>
      <c r="D17" s="9"/>
      <c r="E17" s="9"/>
      <c r="F17" s="9"/>
      <c r="G17" s="9"/>
      <c r="H17" s="9"/>
      <c r="I17" s="9"/>
      <c r="J17" s="9"/>
      <c r="K17" s="9"/>
      <c r="L17" s="9"/>
    </row>
  </sheetData>
  <autoFilter ref="A1:L5" xr:uid="{00000000-0009-0000-0000-000005000000}"/>
  <customSheetViews>
    <customSheetView guid="{9C128F3C-1005-4F5D-A7F3-8A92E87AF9C7}" scale="70" showAutoFilter="1">
      <pane ySplit="1" topLeftCell="A59" activePane="bottomLeft" state="frozen"/>
      <selection pane="bottomLeft" activeCell="A61" sqref="A61"/>
      <pageMargins left="0.7" right="0.7" top="0.75" bottom="0.75" header="0.3" footer="0.3"/>
      <pageSetup paperSize="9" orientation="portrait" r:id="rId1"/>
      <autoFilter ref="A1:M72" xr:uid="{00000000-0000-0000-0000-000000000000}">
        <sortState xmlns:xlrd2="http://schemas.microsoft.com/office/spreadsheetml/2017/richdata2" ref="A3:M156">
          <sortCondition ref="A1:A153"/>
        </sortState>
      </autoFilter>
    </customSheetView>
    <customSheetView guid="{0CAC5EF8-D053-42E4-9439-91EA5D5955C7}" scale="85" showAutoFilter="1">
      <pane ySplit="1" topLeftCell="A2" activePane="bottomLeft" state="frozen"/>
      <selection pane="bottomLeft" activeCell="G2" sqref="G2"/>
      <pageMargins left="0.7" right="0.7" top="0.75" bottom="0.75" header="0.3" footer="0.3"/>
      <pageSetup paperSize="9" orientation="portrait" r:id="rId2"/>
      <autoFilter ref="A1:M72" xr:uid="{00000000-0000-0000-0000-000000000000}">
        <sortState xmlns:xlrd2="http://schemas.microsoft.com/office/spreadsheetml/2017/richdata2" ref="A3:M156">
          <sortCondition ref="A1:A153"/>
        </sortState>
      </autoFilter>
    </customSheetView>
    <customSheetView guid="{47694F39-2DAD-492F-AB64-1530024F138E}" scale="85" showAutoFilter="1">
      <pageMargins left="0.7" right="0.7" top="0.75" bottom="0.75" header="0.3" footer="0.3"/>
      <pageSetup paperSize="9" orientation="portrait" r:id="rId3"/>
      <autoFilter ref="A1:M156" xr:uid="{00000000-0000-0000-0000-000000000000}">
        <sortState xmlns:xlrd2="http://schemas.microsoft.com/office/spreadsheetml/2017/richdata2" ref="A3:M156">
          <sortCondition ref="A1:A153"/>
        </sortState>
      </autoFilter>
    </customSheetView>
  </customSheetViews>
  <conditionalFormatting sqref="A1:L1 A2:C2 I2:J2 E5 J4:J5 A3:A8 B6:M8 B3:M3">
    <cfRule type="cellIs" dxfId="45" priority="29376" operator="equal">
      <formula>FALSE</formula>
    </cfRule>
  </conditionalFormatting>
  <conditionalFormatting sqref="J1:J1048576">
    <cfRule type="cellIs" dxfId="44" priority="29373" operator="equal">
      <formula>"In Progress"</formula>
    </cfRule>
    <cfRule type="cellIs" dxfId="43" priority="29374" operator="equal">
      <formula>"Passed"</formula>
    </cfRule>
    <cfRule type="cellIs" dxfId="42" priority="29375" operator="equal">
      <formula>"Failed"</formula>
    </cfRule>
  </conditionalFormatting>
  <conditionalFormatting sqref="J2:J8">
    <cfRule type="cellIs" dxfId="41" priority="29226" operator="equal">
      <formula>"Not Yet Started"</formula>
    </cfRule>
  </conditionalFormatting>
  <conditionalFormatting sqref="C5 F5">
    <cfRule type="cellIs" dxfId="40" priority="29079" operator="equal">
      <formula>FALSE</formula>
    </cfRule>
  </conditionalFormatting>
  <conditionalFormatting sqref="M1">
    <cfRule type="cellIs" dxfId="39" priority="19626" operator="equal">
      <formula>FALSE</formula>
    </cfRule>
  </conditionalFormatting>
  <conditionalFormatting sqref="M2">
    <cfRule type="cellIs" dxfId="38" priority="19625" operator="equal">
      <formula>FALSE</formula>
    </cfRule>
  </conditionalFormatting>
  <conditionalFormatting sqref="A2:M2 A3:L8">
    <cfRule type="expression" dxfId="37" priority="19624">
      <formula>#REF!="No"</formula>
    </cfRule>
  </conditionalFormatting>
  <conditionalFormatting sqref="K2">
    <cfRule type="cellIs" dxfId="36" priority="19621" operator="equal">
      <formula>FALSE</formula>
    </cfRule>
  </conditionalFormatting>
  <conditionalFormatting sqref="L2">
    <cfRule type="cellIs" dxfId="35" priority="19619" operator="equal">
      <formula>FALSE</formula>
    </cfRule>
  </conditionalFormatting>
  <conditionalFormatting sqref="C4">
    <cfRule type="cellIs" dxfId="34" priority="19617" operator="equal">
      <formula>FALSE</formula>
    </cfRule>
  </conditionalFormatting>
  <conditionalFormatting sqref="D2 H2 F2">
    <cfRule type="cellIs" dxfId="33" priority="19605" operator="equal">
      <formula>FALSE</formula>
    </cfRule>
  </conditionalFormatting>
  <conditionalFormatting sqref="G2">
    <cfRule type="cellIs" dxfId="32" priority="19603" operator="equal">
      <formula>FALSE</formula>
    </cfRule>
  </conditionalFormatting>
  <conditionalFormatting sqref="I4">
    <cfRule type="cellIs" dxfId="31" priority="19601" operator="equal">
      <formula>FALSE</formula>
    </cfRule>
  </conditionalFormatting>
  <conditionalFormatting sqref="M4">
    <cfRule type="cellIs" dxfId="30" priority="19595" operator="equal">
      <formula>FALSE</formula>
    </cfRule>
  </conditionalFormatting>
  <conditionalFormatting sqref="M4">
    <cfRule type="expression" dxfId="29" priority="19594">
      <formula>#REF!="No"</formula>
    </cfRule>
  </conditionalFormatting>
  <conditionalFormatting sqref="K4">
    <cfRule type="cellIs" dxfId="28" priority="19593" operator="equal">
      <formula>FALSE</formula>
    </cfRule>
  </conditionalFormatting>
  <conditionalFormatting sqref="L4">
    <cfRule type="cellIs" dxfId="27" priority="19591" operator="equal">
      <formula>FALSE</formula>
    </cfRule>
  </conditionalFormatting>
  <conditionalFormatting sqref="I5">
    <cfRule type="cellIs" dxfId="26" priority="19589" operator="equal">
      <formula>FALSE</formula>
    </cfRule>
  </conditionalFormatting>
  <conditionalFormatting sqref="M5">
    <cfRule type="cellIs" dxfId="25" priority="19583" operator="equal">
      <formula>FALSE</formula>
    </cfRule>
  </conditionalFormatting>
  <conditionalFormatting sqref="M3 M5:M8">
    <cfRule type="expression" dxfId="24" priority="19582">
      <formula>#REF!="No"</formula>
    </cfRule>
  </conditionalFormatting>
  <conditionalFormatting sqref="L5">
    <cfRule type="cellIs" dxfId="23" priority="19579" operator="equal">
      <formula>FALSE</formula>
    </cfRule>
  </conditionalFormatting>
  <conditionalFormatting sqref="B4">
    <cfRule type="cellIs" dxfId="22" priority="19409" operator="equal">
      <formula>FALSE</formula>
    </cfRule>
  </conditionalFormatting>
  <conditionalFormatting sqref="F4 H4">
    <cfRule type="cellIs" dxfId="21" priority="19405" operator="equal">
      <formula>FALSE</formula>
    </cfRule>
  </conditionalFormatting>
  <conditionalFormatting sqref="D4">
    <cfRule type="cellIs" dxfId="20" priority="19403" operator="equal">
      <formula>FALSE</formula>
    </cfRule>
  </conditionalFormatting>
  <conditionalFormatting sqref="G4">
    <cfRule type="cellIs" dxfId="19" priority="19401" operator="equal">
      <formula>FALSE</formula>
    </cfRule>
  </conditionalFormatting>
  <conditionalFormatting sqref="B5">
    <cfRule type="cellIs" dxfId="18" priority="19399" operator="equal">
      <formula>FALSE</formula>
    </cfRule>
  </conditionalFormatting>
  <conditionalFormatting sqref="E2">
    <cfRule type="cellIs" dxfId="17" priority="19393" operator="equal">
      <formula>FALSE</formula>
    </cfRule>
  </conditionalFormatting>
  <conditionalFormatting sqref="E4">
    <cfRule type="cellIs" dxfId="16" priority="19391" operator="equal">
      <formula>FALSE</formula>
    </cfRule>
  </conditionalFormatting>
  <conditionalFormatting sqref="D5">
    <cfRule type="cellIs" dxfId="15" priority="19353" operator="equal">
      <formula>FALSE</formula>
    </cfRule>
  </conditionalFormatting>
  <conditionalFormatting sqref="G5">
    <cfRule type="cellIs" dxfId="14" priority="19351" operator="equal">
      <formula>FALSE</formula>
    </cfRule>
  </conditionalFormatting>
  <conditionalFormatting sqref="H5">
    <cfRule type="cellIs" dxfId="13" priority="19349" operator="equal">
      <formula>FALSE</formula>
    </cfRule>
  </conditionalFormatting>
  <conditionalFormatting sqref="K5">
    <cfRule type="cellIs" dxfId="12" priority="18415" operator="equal">
      <formula>FALSE</formula>
    </cfRule>
  </conditionalFormatting>
  <conditionalFormatting sqref="B4">
    <cfRule type="cellIs" dxfId="11" priority="4" operator="equal">
      <formula>FALSE</formula>
    </cfRule>
  </conditionalFormatting>
  <conditionalFormatting sqref="B5">
    <cfRule type="cellIs" dxfId="10" priority="3" operator="equal">
      <formula>FALSE</formula>
    </cfRule>
  </conditionalFormatting>
  <conditionalFormatting sqref="B5">
    <cfRule type="cellIs" dxfId="9" priority="2" operator="equal">
      <formula>FALSE</formula>
    </cfRule>
  </conditionalFormatting>
  <conditionalFormatting sqref="E5">
    <cfRule type="cellIs" dxfId="8" priority="1" operator="equal">
      <formula>FALSE</formula>
    </cfRule>
  </conditionalFormatting>
  <dataValidations count="3">
    <dataValidation type="list" allowBlank="1" showInputMessage="1" showErrorMessage="1" sqref="J2:J3" xr:uid="{0D95A9BE-99BD-AA4E-B24A-CF3C8FA26FB0}">
      <formula1>"Not Yet Started, Failed,Passed,In Progress"</formula1>
    </dataValidation>
    <dataValidation type="list" allowBlank="1" showInputMessage="1" showErrorMessage="1" sqref="J3:J8" xr:uid="{00000000-0002-0000-0500-000003000000}">
      <formula1>"Not Yet Started, In Progress, Passed, Failed"</formula1>
    </dataValidation>
    <dataValidation type="list" allowBlank="1" showInputMessage="1" showErrorMessage="1" sqref="I2:I8" xr:uid="{00000000-0002-0000-0500-000001000000}">
      <formula1>"1,2,3,4,5,6,7,8,9,10"</formula1>
    </dataValidation>
  </dataValidations>
  <pageMargins left="0.7" right="0.7" top="0.75" bottom="0.75" header="0.3" footer="0.3"/>
  <pageSetup paperSize="9" orientation="portrait"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5CA60-BC15-4BAB-9703-1CA4312D9750}">
  <sheetPr codeName="Sheet7"/>
  <dimension ref="A1:M9"/>
  <sheetViews>
    <sheetView zoomScale="130" zoomScaleNormal="130" workbookViewId="0">
      <pane ySplit="1" topLeftCell="A7" activePane="bottomLeft" state="frozen"/>
      <selection pane="bottomLeft" activeCell="B15" sqref="B15"/>
    </sheetView>
  </sheetViews>
  <sheetFormatPr defaultColWidth="7.7109375" defaultRowHeight="12.75" x14ac:dyDescent="0.2"/>
  <cols>
    <col min="1" max="1" width="14.28515625" style="10" bestFit="1" customWidth="1"/>
    <col min="2" max="2" width="30.28515625" style="1" bestFit="1" customWidth="1"/>
    <col min="3" max="3" width="21" style="1" hidden="1" customWidth="1"/>
    <col min="4" max="4" width="65.28515625" style="1" customWidth="1"/>
    <col min="5" max="5" width="13.28515625" style="5" bestFit="1" customWidth="1"/>
    <col min="6" max="6" width="79.7109375" style="1" customWidth="1"/>
    <col min="7" max="7" width="71.42578125" style="1" bestFit="1" customWidth="1"/>
    <col min="8" max="8" width="71.28515625" style="1" customWidth="1"/>
    <col min="9" max="9" width="17.140625" style="5" bestFit="1" customWidth="1"/>
    <col min="10" max="10" width="15" style="5" bestFit="1" customWidth="1"/>
    <col min="11" max="11" width="77.85546875" style="1" bestFit="1" customWidth="1"/>
    <col min="12" max="12" width="17.28515625" style="12" bestFit="1" customWidth="1"/>
    <col min="13" max="13" width="17" style="9" customWidth="1"/>
    <col min="14" max="16384" width="7.7109375" style="9"/>
  </cols>
  <sheetData>
    <row r="1" spans="1:13" s="8" customFormat="1" x14ac:dyDescent="0.25">
      <c r="A1" s="13" t="s">
        <v>7</v>
      </c>
      <c r="B1" s="13" t="s">
        <v>4</v>
      </c>
      <c r="C1" s="13" t="s">
        <v>10</v>
      </c>
      <c r="D1" s="13" t="s">
        <v>2</v>
      </c>
      <c r="E1" s="13" t="s">
        <v>12</v>
      </c>
      <c r="F1" s="13" t="s">
        <v>6</v>
      </c>
      <c r="G1" s="13" t="s">
        <v>1</v>
      </c>
      <c r="H1" s="13" t="s">
        <v>3</v>
      </c>
      <c r="I1" s="13" t="s">
        <v>5</v>
      </c>
      <c r="J1" s="13" t="s">
        <v>0</v>
      </c>
      <c r="K1" s="13" t="s">
        <v>8</v>
      </c>
      <c r="L1" s="11" t="s">
        <v>9</v>
      </c>
      <c r="M1" s="13" t="s">
        <v>11</v>
      </c>
    </row>
    <row r="2" spans="1:13" s="1" customFormat="1" ht="114.75" x14ac:dyDescent="0.25">
      <c r="A2" s="6">
        <v>1</v>
      </c>
      <c r="B2" s="2" t="s">
        <v>42</v>
      </c>
      <c r="C2" s="2"/>
      <c r="D2" s="2" t="s">
        <v>43</v>
      </c>
      <c r="E2" s="3" t="s">
        <v>17</v>
      </c>
      <c r="F2" s="2" t="s">
        <v>44</v>
      </c>
      <c r="G2" s="2" t="s">
        <v>45</v>
      </c>
      <c r="H2" s="2" t="s">
        <v>53</v>
      </c>
      <c r="I2" s="4">
        <v>2</v>
      </c>
      <c r="J2" s="3" t="s">
        <v>27</v>
      </c>
      <c r="K2" s="2" t="s">
        <v>80</v>
      </c>
      <c r="L2" s="3" t="s">
        <v>54</v>
      </c>
      <c r="M2" s="2" t="s">
        <v>28</v>
      </c>
    </row>
    <row r="3" spans="1:13" s="1" customFormat="1" ht="108" customHeight="1" x14ac:dyDescent="0.25">
      <c r="A3" s="6">
        <v>2</v>
      </c>
      <c r="B3" s="2" t="s">
        <v>42</v>
      </c>
      <c r="C3" s="2"/>
      <c r="D3" s="2" t="s">
        <v>75</v>
      </c>
      <c r="E3" s="3" t="s">
        <v>17</v>
      </c>
      <c r="F3" s="2" t="s">
        <v>59</v>
      </c>
      <c r="G3" s="2" t="s">
        <v>55</v>
      </c>
      <c r="H3" s="2" t="s">
        <v>56</v>
      </c>
      <c r="I3" s="4">
        <v>1</v>
      </c>
      <c r="J3" s="3" t="s">
        <v>27</v>
      </c>
      <c r="K3" s="2" t="s">
        <v>57</v>
      </c>
      <c r="L3" s="3"/>
      <c r="M3" s="2" t="s">
        <v>28</v>
      </c>
    </row>
    <row r="4" spans="1:13" s="1" customFormat="1" ht="114.75" x14ac:dyDescent="0.25">
      <c r="A4" s="6">
        <v>3</v>
      </c>
      <c r="B4" s="2" t="s">
        <v>42</v>
      </c>
      <c r="C4" s="2"/>
      <c r="D4" s="2" t="s">
        <v>58</v>
      </c>
      <c r="E4" s="3" t="s">
        <v>17</v>
      </c>
      <c r="F4" s="2" t="s">
        <v>60</v>
      </c>
      <c r="G4" s="2" t="s">
        <v>61</v>
      </c>
      <c r="H4" s="2" t="s">
        <v>62</v>
      </c>
      <c r="I4" s="4">
        <v>1</v>
      </c>
      <c r="J4" s="3" t="s">
        <v>27</v>
      </c>
      <c r="K4" s="2" t="s">
        <v>63</v>
      </c>
      <c r="L4" s="3"/>
      <c r="M4" s="2" t="s">
        <v>28</v>
      </c>
    </row>
    <row r="5" spans="1:13" s="1" customFormat="1" ht="51" x14ac:dyDescent="0.25">
      <c r="A5" s="6">
        <v>4</v>
      </c>
      <c r="B5" s="2" t="s">
        <v>42</v>
      </c>
      <c r="C5" s="2"/>
      <c r="D5" s="2" t="s">
        <v>64</v>
      </c>
      <c r="E5" s="3" t="s">
        <v>17</v>
      </c>
      <c r="F5" s="2" t="s">
        <v>20</v>
      </c>
      <c r="G5" s="2" t="s">
        <v>65</v>
      </c>
      <c r="H5" s="2" t="s">
        <v>66</v>
      </c>
      <c r="I5" s="4">
        <v>1</v>
      </c>
      <c r="J5" s="3" t="s">
        <v>27</v>
      </c>
      <c r="K5" s="2" t="s">
        <v>67</v>
      </c>
      <c r="L5" s="3"/>
      <c r="M5" s="2" t="s">
        <v>28</v>
      </c>
    </row>
    <row r="6" spans="1:13" ht="114.75" x14ac:dyDescent="0.2">
      <c r="A6" s="6">
        <v>5</v>
      </c>
      <c r="B6" s="2" t="s">
        <v>42</v>
      </c>
      <c r="C6" s="2"/>
      <c r="D6" s="2" t="s">
        <v>68</v>
      </c>
      <c r="E6" s="3" t="s">
        <v>16</v>
      </c>
      <c r="F6" s="2" t="s">
        <v>44</v>
      </c>
      <c r="G6" s="2" t="s">
        <v>69</v>
      </c>
      <c r="H6" s="2" t="s">
        <v>70</v>
      </c>
      <c r="I6" s="4">
        <v>2</v>
      </c>
      <c r="J6" s="3" t="s">
        <v>27</v>
      </c>
      <c r="K6" s="2" t="s">
        <v>81</v>
      </c>
      <c r="L6" s="3" t="s">
        <v>72</v>
      </c>
      <c r="M6" s="2" t="s">
        <v>28</v>
      </c>
    </row>
    <row r="7" spans="1:13" ht="114.75" x14ac:dyDescent="0.2">
      <c r="A7" s="6">
        <v>6</v>
      </c>
      <c r="B7" s="2" t="s">
        <v>42</v>
      </c>
      <c r="C7" s="2"/>
      <c r="D7" s="2" t="s">
        <v>73</v>
      </c>
      <c r="E7" s="3" t="s">
        <v>16</v>
      </c>
      <c r="F7" s="2" t="s">
        <v>44</v>
      </c>
      <c r="G7" s="2" t="s">
        <v>74</v>
      </c>
      <c r="H7" s="2" t="s">
        <v>76</v>
      </c>
      <c r="I7" s="4">
        <v>1</v>
      </c>
      <c r="J7" s="3" t="s">
        <v>27</v>
      </c>
      <c r="K7" s="2" t="s">
        <v>71</v>
      </c>
      <c r="L7" s="3"/>
      <c r="M7" s="2" t="s">
        <v>28</v>
      </c>
    </row>
    <row r="8" spans="1:13" ht="114.75" x14ac:dyDescent="0.2">
      <c r="A8" s="6">
        <v>7</v>
      </c>
      <c r="B8" s="2" t="s">
        <v>42</v>
      </c>
      <c r="C8" s="2"/>
      <c r="D8" s="2" t="s">
        <v>77</v>
      </c>
      <c r="E8" s="3" t="s">
        <v>17</v>
      </c>
      <c r="F8" s="2" t="s">
        <v>59</v>
      </c>
      <c r="G8" s="2" t="s">
        <v>55</v>
      </c>
      <c r="H8" s="2" t="s">
        <v>78</v>
      </c>
      <c r="I8" s="4">
        <v>2</v>
      </c>
      <c r="J8" s="3" t="s">
        <v>27</v>
      </c>
      <c r="K8" s="2" t="s">
        <v>82</v>
      </c>
      <c r="L8" s="3" t="s">
        <v>79</v>
      </c>
      <c r="M8" s="2" t="s">
        <v>28</v>
      </c>
    </row>
    <row r="9" spans="1:13" ht="76.5" x14ac:dyDescent="0.2">
      <c r="A9" s="6">
        <v>8</v>
      </c>
      <c r="B9" s="2" t="s">
        <v>83</v>
      </c>
      <c r="C9" s="2"/>
      <c r="D9" s="2" t="s">
        <v>84</v>
      </c>
      <c r="E9" s="3" t="s">
        <v>85</v>
      </c>
      <c r="F9" s="2" t="s">
        <v>86</v>
      </c>
      <c r="G9" s="2" t="s">
        <v>87</v>
      </c>
      <c r="H9" s="2" t="s">
        <v>88</v>
      </c>
      <c r="I9" s="4">
        <v>1</v>
      </c>
      <c r="J9" s="3" t="s">
        <v>27</v>
      </c>
      <c r="K9" s="2" t="s">
        <v>89</v>
      </c>
      <c r="L9" s="3"/>
      <c r="M9" s="2" t="s">
        <v>28</v>
      </c>
    </row>
  </sheetData>
  <autoFilter ref="A1:L1" xr:uid="{00000000-0009-0000-0000-000005000000}"/>
  <conditionalFormatting sqref="A1:L1 A2:M9">
    <cfRule type="cellIs" dxfId="7" priority="38" operator="equal">
      <formula>FALSE</formula>
    </cfRule>
  </conditionalFormatting>
  <conditionalFormatting sqref="J1:J1048576">
    <cfRule type="cellIs" dxfId="6" priority="35" operator="equal">
      <formula>"In Progress"</formula>
    </cfRule>
    <cfRule type="cellIs" dxfId="5" priority="36" operator="equal">
      <formula>"Passed"</formula>
    </cfRule>
    <cfRule type="cellIs" dxfId="4" priority="37" operator="equal">
      <formula>"Failed"</formula>
    </cfRule>
  </conditionalFormatting>
  <conditionalFormatting sqref="J2:J9">
    <cfRule type="cellIs" dxfId="3" priority="34" operator="equal">
      <formula>"Not Yet Started"</formula>
    </cfRule>
  </conditionalFormatting>
  <conditionalFormatting sqref="M1">
    <cfRule type="cellIs" dxfId="2" priority="32" operator="equal">
      <formula>FALSE</formula>
    </cfRule>
  </conditionalFormatting>
  <conditionalFormatting sqref="A2:L9">
    <cfRule type="expression" dxfId="1" priority="30">
      <formula>#REF!="No"</formula>
    </cfRule>
  </conditionalFormatting>
  <conditionalFormatting sqref="M2:M9">
    <cfRule type="expression" dxfId="0" priority="17">
      <formula>#REF!="No"</formula>
    </cfRule>
  </conditionalFormatting>
  <dataValidations count="2">
    <dataValidation type="list" allowBlank="1" showInputMessage="1" showErrorMessage="1" sqref="I2:I9" xr:uid="{C0F616A9-FC99-4B46-9574-717BC2321A88}">
      <formula1>"1,2,3,4,5,6,7,8,9,10"</formula1>
    </dataValidation>
    <dataValidation type="list" allowBlank="1" showInputMessage="1" showErrorMessage="1" sqref="J2:J9" xr:uid="{4C23FA4C-885A-45A5-BEAA-E87877214B22}">
      <formula1>"Not Yet Started, In Progress, Passed, Failed"</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B9FE7D6D42D044C8C2D497624EB90B9" ma:contentTypeVersion="2" ma:contentTypeDescription="Create a new document." ma:contentTypeScope="" ma:versionID="3c6697722e713294d5184c6e52845aa3">
  <xsd:schema xmlns:xsd="http://www.w3.org/2001/XMLSchema" xmlns:xs="http://www.w3.org/2001/XMLSchema" xmlns:p="http://schemas.microsoft.com/office/2006/metadata/properties" xmlns:ns2="a45dd7ca-51f3-4c81-9a14-e068a1d0adf0" targetNamespace="http://schemas.microsoft.com/office/2006/metadata/properties" ma:root="true" ma:fieldsID="b81847dbba3ca2813d1f05103148bd04" ns2:_="">
    <xsd:import namespace="a45dd7ca-51f3-4c81-9a14-e068a1d0adf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45dd7ca-51f3-4c81-9a14-e068a1d0adf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DC7F57D-8D6B-4860-A790-A886CF9274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45dd7ca-51f3-4c81-9a14-e068a1d0ad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EBD661-DE40-449E-A40F-E545FA95B75E}">
  <ds:schemaRefs>
    <ds:schemaRef ds:uri="http://schemas.microsoft.com/sharepoint/v3/contenttype/forms"/>
  </ds:schemaRefs>
</ds:datastoreItem>
</file>

<file path=customXml/itemProps3.xml><?xml version="1.0" encoding="utf-8"?>
<ds:datastoreItem xmlns:ds="http://schemas.openxmlformats.org/officeDocument/2006/customXml" ds:itemID="{B87E1E16-F8E1-4572-8A49-C7E473FAAC0C}">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Sprint 1</vt:lpstr>
      <vt:lpstr>Sprint 2</vt:lpstr>
    </vt:vector>
  </TitlesOfParts>
  <Company>NetSuite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Agbayani, Jay-Ar</dc:creator>
  <cp:lastModifiedBy>Jefferson</cp:lastModifiedBy>
  <dcterms:created xsi:type="dcterms:W3CDTF">2013-07-12T16:08:32Z</dcterms:created>
  <dcterms:modified xsi:type="dcterms:W3CDTF">2020-12-17T04:40:12Z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0x010100DB9FE7D6D42D044C8C2D497624EB90B9</vt:lpwstr>
  </property>
</Properties>
</file>