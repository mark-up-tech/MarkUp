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updateLinks="never" codeName="ThisWorkbook" defaultThemeVersion="124226"/>
  <mc:AlternateContent xmlns:mc="http://schemas.openxmlformats.org/markup-compatibility/2006">
    <mc:Choice Requires="x15">
      <x15ac:absPath xmlns:x15ac="http://schemas.microsoft.com/office/spreadsheetml/2010/11/ac" url="C:\Users\Jefferson\Desktop\MarkUp\MarkUp\MarkUp Misc Files\"/>
    </mc:Choice>
  </mc:AlternateContent>
  <xr:revisionPtr revIDLastSave="0" documentId="13_ncr:1_{641B78B2-F101-43F7-9C07-70A8FB5FA6FB}" xr6:coauthVersionLast="45" xr6:coauthVersionMax="45" xr10:uidLastSave="{00000000-0000-0000-0000-000000000000}"/>
  <bookViews>
    <workbookView xWindow="-120" yWindow="-120" windowWidth="29040" windowHeight="15990" xr2:uid="{00000000-000D-0000-FFFF-FFFF00000000}"/>
  </bookViews>
  <sheets>
    <sheet name="Test Cases" sheetId="6" r:id="rId1"/>
  </sheets>
  <functionGroups builtInGroupCount="19"/>
  <definedNames>
    <definedName name="_xlnm._FilterDatabase" localSheetId="0" hidden="1">'Test Cases'!$A$1:$L$5</definedName>
    <definedName name="Z_05CD660A_3FBF_47FF_9960_14E32B913AD3_.wvu.FilterData" localSheetId="0" hidden="1">'Test Cases'!$A$1:$L$5</definedName>
    <definedName name="Z_09A4AC4F_1BE6_4EEF_81C5_7035FF28FF59_.wvu.FilterData" localSheetId="0" hidden="1">'Test Cases'!$A$1:$L$5</definedName>
    <definedName name="Z_0CAC5EF8_D053_42E4_9439_91EA5D5955C7_.wvu.FilterData" localSheetId="0" hidden="1">'Test Cases'!$A$1:$L$5</definedName>
    <definedName name="Z_1634839B_CF2C_446C_9114_87B901302616_.wvu.FilterData" localSheetId="0" hidden="1">'Test Cases'!$A$1:$L$5</definedName>
    <definedName name="Z_1C143473_DF7D_4DE6_9F24_98F2C1835D98_.wvu.FilterData" localSheetId="0" hidden="1">'Test Cases'!$A$1:$L$5</definedName>
    <definedName name="Z_1C90B4B6_0F5B_4067_8F82_A2D1A0214ACA_.wvu.FilterData" localSheetId="0" hidden="1">'Test Cases'!$A$1:$L$5</definedName>
    <definedName name="Z_1D6804BE_423E_46A7_81C3_C4B5390E53D9_.wvu.FilterData" localSheetId="0" hidden="1">'Test Cases'!$A$1:$L$5</definedName>
    <definedName name="Z_1F003FE9_91B2_4D69_9DFC_E5C62C5E383B_.wvu.FilterData" localSheetId="0" hidden="1">'Test Cases'!$A$1:$L$5</definedName>
    <definedName name="Z_23B271D0_9F2C_44F8_9204_6FDA13CF4E7D_.wvu.FilterData" localSheetId="0" hidden="1">'Test Cases'!$A$1:$L$5</definedName>
    <definedName name="Z_28A83D0A_FF8A_4541_AC99_02378EFE192B_.wvu.FilterData" localSheetId="0" hidden="1">'Test Cases'!$A$1:$L$5</definedName>
    <definedName name="Z_2F9018B8_B7E4_4521_B407_383D7E430958_.wvu.FilterData" localSheetId="0" hidden="1">'Test Cases'!$A$1:$L$5</definedName>
    <definedName name="Z_31B25EE9_15D1_4DE2_9AFF_C011C23425E9_.wvu.FilterData" localSheetId="0" hidden="1">'Test Cases'!$A$1:$L$5</definedName>
    <definedName name="Z_47694F39_2DAD_492F_AB64_1530024F138E_.wvu.FilterData" localSheetId="0" hidden="1">'Test Cases'!$A$1:$L$5</definedName>
    <definedName name="Z_5EC23985_2E0D_4DED_BBF7_10292B2A2E43_.wvu.FilterData" localSheetId="0" hidden="1">'Test Cases'!$A$1:$L$5</definedName>
    <definedName name="Z_64690F0C_94F7_4E62_A837_6FF33464CDA3_.wvu.FilterData" localSheetId="0" hidden="1">'Test Cases'!$A$1:$L$5</definedName>
    <definedName name="Z_64B78518_CF14_4276_ADC2_A084F51E3D02_.wvu.FilterData" localSheetId="0" hidden="1">'Test Cases'!$A$1:$L$5</definedName>
    <definedName name="Z_6686781F_3AB4_4365_9575_623430B3F0F8_.wvu.FilterData" localSheetId="0" hidden="1">'Test Cases'!$A$1:$L$5</definedName>
    <definedName name="Z_6768EBBA_C675_4DA2_9AB1_5447A0BD7797_.wvu.FilterData" localSheetId="0" hidden="1">'Test Cases'!$A$1:$L$5</definedName>
    <definedName name="Z_6AA6E991_F9B0_4EE5_B658_B5BEE471E302_.wvu.FilterData" localSheetId="0" hidden="1">'Test Cases'!$A$1:$L$5</definedName>
    <definedName name="Z_6AA72BB4_2771_4089_9215_89240984FA45_.wvu.FilterData" localSheetId="0" hidden="1">'Test Cases'!$A$1:$L$5</definedName>
    <definedName name="Z_6B1B51D8_F477_461F_89C3_DEF3836F7AFF_.wvu.FilterData" localSheetId="0" hidden="1">'Test Cases'!$A$1:$L$5</definedName>
    <definedName name="Z_6FE58945_0405_492B_BFBA_7DD42AC5F70E_.wvu.FilterData" localSheetId="0" hidden="1">'Test Cases'!$A$1:$L$5</definedName>
    <definedName name="Z_750F1C5F_CE9E_42D3_8262_575170F98B18_.wvu.FilterData" localSheetId="0" hidden="1">'Test Cases'!$A$1:$L$5</definedName>
    <definedName name="Z_769E9D67_E91C_4BA9_9C7A_EC11BE5BFF97_.wvu.FilterData" localSheetId="0" hidden="1">'Test Cases'!$A$1:$L$5</definedName>
    <definedName name="Z_7944C9C4_6A3C_4279_BB3B_9792797F57D7_.wvu.FilterData" localSheetId="0" hidden="1">'Test Cases'!$A$1:$L$5</definedName>
    <definedName name="Z_7EE2C0FF_BEC7_4622_B00C_D6DF0FE9906D_.wvu.FilterData" localSheetId="0" hidden="1">'Test Cases'!$A$1:$L$5</definedName>
    <definedName name="Z_81B8045D_C3FD_4A72_ACBE_2375F9120B10_.wvu.FilterData" localSheetId="0" hidden="1">'Test Cases'!$A$1:$L$5</definedName>
    <definedName name="Z_81D63D59_AD0E_4497_9172_4DDA7A8C3FD6_.wvu.FilterData" localSheetId="0" hidden="1">'Test Cases'!$A$1:$L$5</definedName>
    <definedName name="Z_82014F1C_453D_4BCB_B854_9E1CEFF96F2C_.wvu.FilterData" localSheetId="0" hidden="1">'Test Cases'!$A$1:$L$5</definedName>
    <definedName name="Z_86B06D84_CB88_46CA_B834_6EB917D24414_.wvu.FilterData" localSheetId="0" hidden="1">'Test Cases'!$A$1:$L$5</definedName>
    <definedName name="Z_8881A73E_83CE_4952_BBE0_5F26B6FBB582_.wvu.FilterData" localSheetId="0" hidden="1">'Test Cases'!$A$1:$L$5</definedName>
    <definedName name="Z_89BEFE4B_7046_4CF4_BCD1_03EB10F4C18F_.wvu.FilterData" localSheetId="0" hidden="1">'Test Cases'!$A$1:$L$5</definedName>
    <definedName name="Z_8D9374AE_DA71_4385_B349_58A3500DBC59_.wvu.FilterData" localSheetId="0" hidden="1">'Test Cases'!$A$1:$L$5</definedName>
    <definedName name="Z_90754AB6_F022_4873_B39A_09AD344E9C85_.wvu.FilterData" localSheetId="0" hidden="1">'Test Cases'!$A$1:$L$5</definedName>
    <definedName name="Z_966DEB6E_4F2E_4BD6_AE7F_911B18DBD26E_.wvu.FilterData" localSheetId="0" hidden="1">'Test Cases'!$A$1:$L$5</definedName>
    <definedName name="Z_9C128F3C_1005_4F5D_A7F3_8A92E87AF9C7_.wvu.FilterData" localSheetId="0" hidden="1">'Test Cases'!$A$1:$L$5</definedName>
    <definedName name="Z_9CF507C8_601A_4088_ACA1_EEA117B46EF6_.wvu.FilterData" localSheetId="0" hidden="1">'Test Cases'!$A$1:$L$5</definedName>
    <definedName name="Z_A2FDDEE0_B0E7_43A1_87D7_D71C312530D7_.wvu.FilterData" localSheetId="0" hidden="1">'Test Cases'!$A$1:$L$5</definedName>
    <definedName name="Z_A6E23BE2_18EB_4BCA_8172_632A7529556A_.wvu.FilterData" localSheetId="0" hidden="1">'Test Cases'!$A$1:$L$5</definedName>
    <definedName name="Z_AA5D861E_7CBB_44FD_984D_D97D5CACDEED_.wvu.FilterData" localSheetId="0" hidden="1">'Test Cases'!$A$1:$L$5</definedName>
    <definedName name="Z_ACA80C67_A8BC_41C6_A1E9_9852B6797385_.wvu.FilterData" localSheetId="0" hidden="1">'Test Cases'!$A$1:$L$5</definedName>
    <definedName name="Z_AF13BCDE_2F74_445F_BED4_EE203B6E8E38_.wvu.FilterData" localSheetId="0" hidden="1">'Test Cases'!$A$1:$L$5</definedName>
    <definedName name="Z_B00AC489_BFD3_45D2_B72F_2C67FC943CC3_.wvu.FilterData" localSheetId="0" hidden="1">'Test Cases'!$A$1:$L$5</definedName>
    <definedName name="Z_B3DCBAFC_CADD_49F4_93B9_B8B1D2FCEEB7_.wvu.FilterData" localSheetId="0" hidden="1">'Test Cases'!$A$1:$L$5</definedName>
    <definedName name="Z_BD172EA1_9956_4ED1_B00A_C2495CDF2A8D_.wvu.FilterData" localSheetId="0" hidden="1">'Test Cases'!$A$1:$L$5</definedName>
    <definedName name="Z_CC33035B_A7F3_420F_AB31_BF7C06FDF46E_.wvu.FilterData" localSheetId="0" hidden="1">'Test Cases'!$A$1:$L$5</definedName>
    <definedName name="Z_CF7B7634_C2C4_454E_A510_CE98FAAE9CC4_.wvu.FilterData" localSheetId="0" hidden="1">'Test Cases'!$A$1:$L$5</definedName>
    <definedName name="Z_D03F2D3F_9178_466A_9441_3892CEA09C0D_.wvu.FilterData" localSheetId="0" hidden="1">'Test Cases'!$A$1:$L$5</definedName>
    <definedName name="Z_D5CB6103_D023_4B64_BAC8_7004E07AC653_.wvu.FilterData" localSheetId="0" hidden="1">'Test Cases'!$A$1:$L$5</definedName>
    <definedName name="Z_DA03473B_73F9_4B2E_BEC9_E71B189C2B39_.wvu.FilterData" localSheetId="0" hidden="1">'Test Cases'!$A$1:$L$5</definedName>
    <definedName name="Z_E09C709C_9792_4914_B179_6B0AD4C09748_.wvu.FilterData" localSheetId="0" hidden="1">'Test Cases'!$A$1:$L$5</definedName>
    <definedName name="Z_E3B48E65_AF07_47B0_A35E_5944AF114BF3_.wvu.FilterData" localSheetId="0" hidden="1">'Test Cases'!$A$1:$L$5</definedName>
    <definedName name="Z_EECC9BD5_8FB3_4383_9C55_9296B70552E0_.wvu.FilterData" localSheetId="0" hidden="1">'Test Cases'!$A$1:$L$5</definedName>
    <definedName name="Z_F08384AD_6AC3_4E8B_8625_00B5F77DFF4F_.wvu.FilterData" localSheetId="0" hidden="1">'Test Cases'!$A$1:$L$5</definedName>
    <definedName name="Z_FB5E95D8_FEC5_4253_A86C_AD9001EE405A_.wvu.FilterData" localSheetId="0" hidden="1">'Test Cases'!$A$1:$L$5</definedName>
  </definedNames>
  <calcPr calcId="191029"/>
  <customWorkbookViews>
    <customWorkbookView name="PC - Personal View" guid="{9C128F3C-1005-4F5D-A7F3-8A92E87AF9C7}" mergeInterval="0" personalView="1" maximized="1" xWindow="-8" yWindow="-8" windowWidth="1382" windowHeight="744" activeSheetId="6"/>
    <customWorkbookView name="Reyes, Kristine Buena Charmaigne - Personal View" guid="{0CAC5EF8-D053-42E4-9439-91EA5D5955C7}" mergeInterval="0" personalView="1" maximized="1" xWindow="-8" yWindow="-8" windowWidth="1936" windowHeight="1056" activeSheetId="6"/>
    <customWorkbookView name="Agbayani, Jay-Ar - Personal View" guid="{47694F39-2DAD-492F-AB64-1530024F138E}" mergeInterval="0" personalView="1" maximized="1" xWindow="1912" yWindow="-8" windowWidth="1936" windowHeight="1056"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6" l="1"/>
  <c r="A3" i="6" s="1"/>
  <c r="A4" i="6" s="1"/>
  <c r="A5" i="6" s="1"/>
</calcChain>
</file>

<file path=xl/sharedStrings.xml><?xml version="1.0" encoding="utf-8"?>
<sst xmlns="http://schemas.openxmlformats.org/spreadsheetml/2006/main" count="81" uniqueCount="52">
  <si>
    <t>Status</t>
  </si>
  <si>
    <t>Steps</t>
  </si>
  <si>
    <t>Description</t>
  </si>
  <si>
    <t>Expected Results</t>
  </si>
  <si>
    <t>Feature</t>
  </si>
  <si>
    <t>Iteration</t>
  </si>
  <si>
    <t>Pre-Requisites</t>
  </si>
  <si>
    <t>Test Case ID</t>
  </si>
  <si>
    <t>Actual Results</t>
  </si>
  <si>
    <t xml:space="preserve"> Issue(s)</t>
  </si>
  <si>
    <t>Sub-Feature</t>
  </si>
  <si>
    <t>Owner</t>
  </si>
  <si>
    <t>Role(s)</t>
  </si>
  <si>
    <t>Login Page</t>
  </si>
  <si>
    <t>Login using valid credentials</t>
  </si>
  <si>
    <t>Login using non existing credentials</t>
  </si>
  <si>
    <t>Registered User</t>
  </si>
  <si>
    <t>Visitor</t>
  </si>
  <si>
    <t>Login without inputting any credentials</t>
  </si>
  <si>
    <t>Login failed.
Will prompt message saying "Please fill up mandatory fields".</t>
  </si>
  <si>
    <t>Stable internet connection
Browser</t>
  </si>
  <si>
    <t>Login using correct email address but invalid password</t>
  </si>
  <si>
    <t>Login using invalid email address but correct password</t>
  </si>
  <si>
    <t>Any email address and password that is not registered into the system
Stable internet connection
Browser</t>
  </si>
  <si>
    <t>Registered email address
Any unregistered password
Stable internet connection
Browser</t>
  </si>
  <si>
    <t>Any unregistered email address
Registered password
Stable internet connection
Browser</t>
  </si>
  <si>
    <t>Login is successful.
User is redirected to the homepage of MarkUp.</t>
  </si>
  <si>
    <t>Passed</t>
  </si>
  <si>
    <t>Jefferson Salvador</t>
  </si>
  <si>
    <t>Login using correct contact number but invalid password</t>
  </si>
  <si>
    <t>Registered contact number
Any unregistered password
Stable internet connection
Browser</t>
  </si>
  <si>
    <t>Failed</t>
  </si>
  <si>
    <t>Login failed.
Will prompt message saying "Incorrect email address/contact number or password"
User is redirected to login page of MarkUp.</t>
  </si>
  <si>
    <t>1. Navigate to MarkUp homepage
2. Click Login button. 
3. Input registered email/contact number on the email/contact number field. 
4. Input registered password on the password field.
5. Click Login button or Click enter from the keyboard.</t>
  </si>
  <si>
    <t>Issue 1: Message should be "Incorrect email address/contact number or password"</t>
  </si>
  <si>
    <t>ITERATION 1 (November 5, 2020):
Login is successful.
User is redirected to the homepage of MarkUp.</t>
  </si>
  <si>
    <t>ITERATION 1 (November 5, 2020):
Login failed.
Prompt message saying "Please fill up mandatory fields".</t>
  </si>
  <si>
    <t>ITERATION 1 (November 5, 2020):
Login failed.
Prompt message saying "Incorrect email address/contact number"
User is redirected to login page of MarkUp.</t>
  </si>
  <si>
    <t>ITERATION 1 (November 5, 2020):
Login failed.
Prompt message saying "Incorrect email address/contact number or password"
User is redirected to login page of MarkUp.</t>
  </si>
  <si>
    <t>ITERATION 1 (November 5, 2020):
Login failed.
Prompt message saying "Incorrect email address"
User is redirected to login page of MarkUp.</t>
  </si>
  <si>
    <t>Name of the user displayed on the homepage</t>
  </si>
  <si>
    <t>Stable internet connection
Browser
Registered contact number/email address and password</t>
  </si>
  <si>
    <t>1. Navigate to MarkUp homepage
2. Click Login button. 
3. Input registered email/contact number on the email/contact number field. 
4. Input registered password on the password field.
5. Click Login button or click enter from the keyboard.</t>
  </si>
  <si>
    <t>1. Navigate to MarkUp homepage
2. Click Login button. 
3. Input contact number  on the email/contact number field. 
4. Input unregistered password on the password field.
5. Click Login button or click enter from the keyboard.</t>
  </si>
  <si>
    <t>1. Navigate to MarkUp homepage
2. Click Login button. 
3. Click Login button or click enter from the keyboard.</t>
  </si>
  <si>
    <t>1. Navigate to MarkUp homepage
2. Click Login button. 
3. Input unregistered email address  on the email field. 
4. Input registered password on the password field.
5. Click Login button or click enter from the keyboard.</t>
  </si>
  <si>
    <t>1. Navigate to MarkUp homepage
2. Click Login button. 
3. Input registered email address  on the email field. 
4. Input unregistered password on the password field.
5. Click Login button or click enter from the keyboard.</t>
  </si>
  <si>
    <t>1. Navigate to MarkUp homepage
2. Click Login button. 
3. Input unregistered email address on the email field. 
4. Input unregistered password on the password field.
5. Click Login button or click enter from the keyboard.</t>
  </si>
  <si>
    <t>Login is successful.
User is redirected to the homepage of MarkUp.
Name displayed at the top of the homepage or in the navigation bar</t>
  </si>
  <si>
    <t>Issue 1: Name disappears after refresh</t>
  </si>
  <si>
    <t>ITERATION 1 (November 5, 2020):
Login failed.
Prompt message saying "Incorrect password"
User is redirected to login page of MarkUp.</t>
  </si>
  <si>
    <t>ITERATION 1 (November 5, 2020):
Login is successful.
User is redirected to the homepage of MarkUp.
Name displayed at the top of the homepage or in the navigation bar.
Name disappears after refresh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</si>
</sst>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0"/>
      <name val="Calibri"/>
      <family val="2"/>
      <scheme val="minor"/>
    </font>
    <font>
      <b/>
      <sz val="10"/>
      <color theme="0"/>
      <name val="Calibri"/>
      <family val="2"/>
      <scheme val="minor"/>
    </font>
    <font>
      <sz val="10"/>
      <color theme="1"/>
      <name val="Calibri"/>
      <family val="2"/>
      <scheme val="minor"/>
    </font>
    <font>
      <b/>
      <sz val="10"/>
      <color theme="1"/>
      <name val="Calibri"/>
      <family val="2"/>
      <scheme val="minor"/>
    </font>
  </fonts>
  <fills count="3">
    <fill>
      <patternFill patternType="none"/>
    </fill>
    <fill>
      <patternFill patternType="gray125"/>
    </fill>
    <fill>
      <patternFill patternType="solid">
        <fgColor rgb="FF00206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cellStyleXfs>
  <cellXfs count="14">
    <xf numFmtId="0" fontId="0" fillId="0" borderId="0" xfId="0"/>
    <xf numFmtId="0" fontId="4" fillId="0" borderId="0" xfId="0" applyFont="1" applyFill="1" applyBorder="1" applyAlignment="1">
      <alignment horizontal="left" vertical="top" wrapText="1"/>
    </xf>
    <xf numFmtId="0" fontId="4" fillId="0" borderId="1" xfId="0" applyFont="1" applyFill="1" applyBorder="1" applyAlignment="1">
      <alignment horizontal="left" vertical="top" wrapText="1"/>
    </xf>
    <xf numFmtId="0" fontId="4" fillId="0" borderId="1" xfId="0" applyFont="1" applyFill="1" applyBorder="1" applyAlignment="1">
      <alignment horizontal="center" vertical="top" wrapText="1"/>
    </xf>
    <xf numFmtId="0" fontId="2" fillId="0" borderId="1" xfId="0" applyFont="1" applyFill="1" applyBorder="1" applyAlignment="1">
      <alignment horizontal="center" vertical="top" wrapText="1"/>
    </xf>
    <xf numFmtId="0" fontId="4" fillId="0" borderId="0" xfId="0" applyFont="1" applyFill="1" applyBorder="1" applyAlignment="1">
      <alignment horizontal="center" vertical="top" wrapText="1"/>
    </xf>
    <xf numFmtId="0" fontId="5" fillId="0" borderId="1" xfId="0" applyFont="1" applyFill="1" applyBorder="1" applyAlignment="1">
      <alignment horizontal="left" vertical="top" wrapText="1"/>
    </xf>
    <xf numFmtId="0" fontId="3" fillId="2" borderId="2" xfId="0" applyFont="1" applyFill="1" applyBorder="1" applyAlignment="1">
      <alignment horizontal="center" vertical="center" wrapText="1"/>
    </xf>
    <xf numFmtId="0" fontId="4" fillId="0" borderId="0" xfId="0" applyFont="1" applyAlignment="1">
      <alignment horizontal="center" vertical="center" wrapText="1"/>
    </xf>
    <xf numFmtId="0" fontId="4" fillId="0" borderId="0" xfId="0" applyFont="1" applyFill="1" applyBorder="1" applyAlignment="1">
      <alignment wrapText="1"/>
    </xf>
    <xf numFmtId="0" fontId="5" fillId="0" borderId="0" xfId="0" applyFont="1" applyFill="1" applyBorder="1" applyAlignment="1">
      <alignment horizontal="left" vertical="top" wrapText="1"/>
    </xf>
    <xf numFmtId="49" fontId="3" fillId="2" borderId="2" xfId="0" applyNumberFormat="1" applyFont="1" applyFill="1" applyBorder="1" applyAlignment="1">
      <alignment horizontal="center" vertical="center" wrapText="1"/>
    </xf>
    <xf numFmtId="49" fontId="4" fillId="0" borderId="0" xfId="0" applyNumberFormat="1" applyFont="1" applyFill="1" applyBorder="1" applyAlignment="1">
      <alignment horizontal="left" vertical="top" wrapText="1"/>
    </xf>
    <xf numFmtId="0" fontId="3" fillId="2" borderId="2" xfId="0" applyFont="1" applyFill="1" applyBorder="1" applyAlignment="1">
      <alignment horizontal="center" vertical="center" wrapText="1"/>
    </xf>
  </cellXfs>
  <cellStyles count="2">
    <cellStyle name="Normal" xfId="0" builtinId="0"/>
    <cellStyle name="Normal 2" xfId="1" xr:uid="{00000000-0005-0000-0000-000001000000}"/>
  </cellStyles>
  <dxfs count="3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s>
  <tableStyles count="0" defaultTableStyle="TableStyleMedium2" defaultPivotStyle="PivotStyleLight16"/>
  <colors>
    <mruColors>
      <color rgb="FFFFEB9C"/>
      <color rgb="FFEEE310"/>
      <color rgb="FFFFCCCC"/>
      <color rgb="FFFF9999"/>
      <color rgb="FF0D12CD"/>
      <color rgb="FF00FF00"/>
      <color rgb="FFFF9900"/>
      <color rgb="FF00CC66"/>
      <color rgb="FF169A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8"/>
  <sheetViews>
    <sheetView tabSelected="1" topLeftCell="H1" zoomScale="115" zoomScaleNormal="115" workbookViewId="0">
      <pane ySplit="1" topLeftCell="A2" activePane="bottomLeft" state="frozen"/>
      <selection pane="bottomLeft" activeCell="K5" sqref="K5"/>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7" t="s">
        <v>7</v>
      </c>
      <c r="B1" s="7" t="s">
        <v>4</v>
      </c>
      <c r="C1" s="7" t="s">
        <v>10</v>
      </c>
      <c r="D1" s="7" t="s">
        <v>2</v>
      </c>
      <c r="E1" s="7" t="s">
        <v>12</v>
      </c>
      <c r="F1" s="7" t="s">
        <v>6</v>
      </c>
      <c r="G1" s="7" t="s">
        <v>1</v>
      </c>
      <c r="H1" s="7" t="s">
        <v>3</v>
      </c>
      <c r="I1" s="7" t="s">
        <v>5</v>
      </c>
      <c r="J1" s="7" t="s">
        <v>0</v>
      </c>
      <c r="K1" s="7" t="s">
        <v>8</v>
      </c>
      <c r="L1" s="11" t="s">
        <v>9</v>
      </c>
      <c r="M1" s="13" t="s">
        <v>11</v>
      </c>
    </row>
    <row r="2" spans="1:13" s="1" customFormat="1" ht="63.75" x14ac:dyDescent="0.25">
      <c r="A2" s="6">
        <f>1</f>
        <v>1</v>
      </c>
      <c r="B2" s="2" t="s">
        <v>13</v>
      </c>
      <c r="C2" s="2"/>
      <c r="D2" s="2" t="s">
        <v>14</v>
      </c>
      <c r="E2" s="3" t="s">
        <v>16</v>
      </c>
      <c r="F2" s="2" t="s">
        <v>41</v>
      </c>
      <c r="G2" s="2" t="s">
        <v>33</v>
      </c>
      <c r="H2" s="2" t="s">
        <v>26</v>
      </c>
      <c r="I2" s="4">
        <v>1</v>
      </c>
      <c r="J2" s="3" t="s">
        <v>27</v>
      </c>
      <c r="K2" s="2" t="s">
        <v>35</v>
      </c>
      <c r="L2" s="2"/>
      <c r="M2" s="2" t="s">
        <v>28</v>
      </c>
    </row>
    <row r="3" spans="1:13" s="1" customFormat="1" ht="76.5" x14ac:dyDescent="0.25">
      <c r="A3" s="6">
        <f>1+A2</f>
        <v>2</v>
      </c>
      <c r="B3" s="2" t="s">
        <v>13</v>
      </c>
      <c r="C3" s="2"/>
      <c r="D3" s="2" t="s">
        <v>15</v>
      </c>
      <c r="E3" s="3" t="s">
        <v>17</v>
      </c>
      <c r="F3" s="2" t="s">
        <v>23</v>
      </c>
      <c r="G3" s="2" t="s">
        <v>47</v>
      </c>
      <c r="H3" s="2" t="s">
        <v>32</v>
      </c>
      <c r="I3" s="4">
        <v>1</v>
      </c>
      <c r="J3" s="3" t="s">
        <v>31</v>
      </c>
      <c r="K3" s="2" t="s">
        <v>39</v>
      </c>
      <c r="L3" s="3" t="s">
        <v>34</v>
      </c>
      <c r="M3" s="2" t="s">
        <v>28</v>
      </c>
    </row>
    <row r="4" spans="1:13" s="1" customFormat="1" ht="76.5" x14ac:dyDescent="0.25">
      <c r="A4" s="6">
        <f t="shared" ref="A4" si="0">1+A3</f>
        <v>3</v>
      </c>
      <c r="B4" s="2" t="s">
        <v>13</v>
      </c>
      <c r="C4" s="2"/>
      <c r="D4" s="2" t="s">
        <v>21</v>
      </c>
      <c r="E4" s="3" t="s">
        <v>16</v>
      </c>
      <c r="F4" s="2" t="s">
        <v>24</v>
      </c>
      <c r="G4" s="2" t="s">
        <v>46</v>
      </c>
      <c r="H4" s="2" t="s">
        <v>32</v>
      </c>
      <c r="I4" s="4">
        <v>1</v>
      </c>
      <c r="J4" s="3" t="s">
        <v>31</v>
      </c>
      <c r="K4" s="2" t="s">
        <v>38</v>
      </c>
      <c r="L4" s="3" t="s">
        <v>34</v>
      </c>
      <c r="M4" s="2" t="s">
        <v>28</v>
      </c>
    </row>
    <row r="5" spans="1:13" s="1" customFormat="1" ht="76.5" x14ac:dyDescent="0.25">
      <c r="A5" s="6">
        <f t="shared" ref="A5" si="1">1+A4</f>
        <v>4</v>
      </c>
      <c r="B5" s="2" t="s">
        <v>13</v>
      </c>
      <c r="C5" s="2"/>
      <c r="D5" s="2" t="s">
        <v>22</v>
      </c>
      <c r="E5" s="3" t="s">
        <v>16</v>
      </c>
      <c r="F5" s="2" t="s">
        <v>25</v>
      </c>
      <c r="G5" s="2" t="s">
        <v>45</v>
      </c>
      <c r="H5" s="2" t="s">
        <v>32</v>
      </c>
      <c r="I5" s="4">
        <v>1</v>
      </c>
      <c r="J5" s="3" t="s">
        <v>31</v>
      </c>
      <c r="K5" s="2" t="s">
        <v>37</v>
      </c>
      <c r="L5" s="3" t="s">
        <v>34</v>
      </c>
      <c r="M5" s="2" t="s">
        <v>28</v>
      </c>
    </row>
    <row r="6" spans="1:13" ht="38.25" x14ac:dyDescent="0.2">
      <c r="A6" s="6">
        <v>5</v>
      </c>
      <c r="B6" s="2" t="s">
        <v>13</v>
      </c>
      <c r="C6" s="2"/>
      <c r="D6" s="2" t="s">
        <v>18</v>
      </c>
      <c r="E6" s="3" t="s">
        <v>17</v>
      </c>
      <c r="F6" s="2" t="s">
        <v>20</v>
      </c>
      <c r="G6" s="2" t="s">
        <v>44</v>
      </c>
      <c r="H6" s="2" t="s">
        <v>19</v>
      </c>
      <c r="I6" s="4">
        <v>1</v>
      </c>
      <c r="J6" s="3" t="s">
        <v>27</v>
      </c>
      <c r="K6" s="2" t="s">
        <v>36</v>
      </c>
      <c r="L6" s="3"/>
      <c r="M6" s="2" t="s">
        <v>28</v>
      </c>
    </row>
    <row r="7" spans="1:13" ht="76.5" x14ac:dyDescent="0.2">
      <c r="A7" s="6">
        <v>6</v>
      </c>
      <c r="B7" s="2" t="s">
        <v>13</v>
      </c>
      <c r="C7" s="2"/>
      <c r="D7" s="2" t="s">
        <v>29</v>
      </c>
      <c r="E7" s="3" t="s">
        <v>16</v>
      </c>
      <c r="F7" s="2" t="s">
        <v>30</v>
      </c>
      <c r="G7" s="2" t="s">
        <v>43</v>
      </c>
      <c r="H7" s="2" t="s">
        <v>32</v>
      </c>
      <c r="I7" s="4">
        <v>1</v>
      </c>
      <c r="J7" s="3" t="s">
        <v>31</v>
      </c>
      <c r="K7" s="2" t="s">
        <v>50</v>
      </c>
      <c r="L7" s="3" t="s">
        <v>34</v>
      </c>
      <c r="M7" s="2" t="s">
        <v>28</v>
      </c>
    </row>
    <row r="8" spans="1:13" ht="63.75" x14ac:dyDescent="0.2">
      <c r="A8" s="6">
        <v>7</v>
      </c>
      <c r="B8" s="2" t="s">
        <v>13</v>
      </c>
      <c r="C8" s="2"/>
      <c r="D8" s="2" t="s">
        <v>40</v>
      </c>
      <c r="E8" s="3" t="s">
        <v>16</v>
      </c>
      <c r="F8" s="2" t="s">
        <v>41</v>
      </c>
      <c r="G8" s="2" t="s">
        <v>42</v>
      </c>
      <c r="H8" s="2" t="s">
        <v>48</v>
      </c>
      <c r="I8" s="4">
        <v>1</v>
      </c>
      <c r="J8" s="3" t="s">
        <v>31</v>
      </c>
      <c r="K8" s="2" t="s">
        <v>51</v>
      </c>
      <c r="L8" s="3" t="s">
        <v>49</v>
      </c>
      <c r="M8" s="2" t="s">
        <v>28</v>
      </c>
    </row>
  </sheetData>
  <autoFilter ref="A1:L5" xr:uid="{00000000-0009-0000-0000-000005000000}"/>
  <customSheetViews>
    <customSheetView guid="{9C128F3C-1005-4F5D-A7F3-8A92E87AF9C7}" scale="70" showAutoFilter="1">
      <pane ySplit="1" topLeftCell="A59" activePane="bottomLeft" state="frozen"/>
      <selection pane="bottomLeft" activeCell="A61" sqref="A61"/>
      <pageMargins left="0.7" right="0.7" top="0.75" bottom="0.75" header="0.3" footer="0.3"/>
      <pageSetup paperSize="9" orientation="portrait" r:id="rId1"/>
      <autoFilter ref="A1:M72" xr:uid="{00000000-0000-0000-0000-000000000000}">
        <sortState xmlns:xlrd2="http://schemas.microsoft.com/office/spreadsheetml/2017/richdata2" ref="A3:M156">
          <sortCondition ref="A1:A153"/>
        </sortState>
      </autoFilter>
    </customSheetView>
    <customSheetView guid="{0CAC5EF8-D053-42E4-9439-91EA5D5955C7}" scale="85" showAutoFilter="1">
      <pane ySplit="1" topLeftCell="A2" activePane="bottomLeft" state="frozen"/>
      <selection pane="bottomLeft" activeCell="G2" sqref="G2"/>
      <pageMargins left="0.7" right="0.7" top="0.75" bottom="0.75" header="0.3" footer="0.3"/>
      <pageSetup paperSize="9" orientation="portrait" r:id="rId2"/>
      <autoFilter ref="A1:M72" xr:uid="{00000000-0000-0000-0000-000000000000}">
        <sortState xmlns:xlrd2="http://schemas.microsoft.com/office/spreadsheetml/2017/richdata2" ref="A3:M156">
          <sortCondition ref="A1:A153"/>
        </sortState>
      </autoFilter>
    </customSheetView>
    <customSheetView guid="{47694F39-2DAD-492F-AB64-1530024F138E}" scale="85" showAutoFilter="1">
      <pageMargins left="0.7" right="0.7" top="0.75" bottom="0.75" header="0.3" footer="0.3"/>
      <pageSetup paperSize="9" orientation="portrait" r:id="rId3"/>
      <autoFilter ref="A1:M156" xr:uid="{00000000-0000-0000-0000-000000000000}">
        <sortState xmlns:xlrd2="http://schemas.microsoft.com/office/spreadsheetml/2017/richdata2" ref="A3:M156">
          <sortCondition ref="A1:A153"/>
        </sortState>
      </autoFilter>
    </customSheetView>
  </customSheetViews>
  <conditionalFormatting sqref="A1:L1 A2:C2 I2:J2 E4:E6 J3:J6 B5:D6 F5:I6 K5:M6 A3:A6 A7:M8">
    <cfRule type="cellIs" dxfId="37" priority="29376" operator="equal">
      <formula>FALSE</formula>
    </cfRule>
  </conditionalFormatting>
  <conditionalFormatting sqref="J1:J1048576">
    <cfRule type="cellIs" dxfId="36" priority="29373" operator="equal">
      <formula>"In Progress"</formula>
    </cfRule>
    <cfRule type="cellIs" dxfId="35" priority="29374" operator="equal">
      <formula>"Passed"</formula>
    </cfRule>
    <cfRule type="cellIs" dxfId="34" priority="29375" operator="equal">
      <formula>"Failed"</formula>
    </cfRule>
  </conditionalFormatting>
  <conditionalFormatting sqref="J2:J8">
    <cfRule type="cellIs" dxfId="33" priority="29226" operator="equal">
      <formula>"Not Yet Started"</formula>
    </cfRule>
  </conditionalFormatting>
  <conditionalFormatting sqref="C4 F4">
    <cfRule type="cellIs" dxfId="32" priority="29079" operator="equal">
      <formula>FALSE</formula>
    </cfRule>
  </conditionalFormatting>
  <conditionalFormatting sqref="M1">
    <cfRule type="cellIs" dxfId="31" priority="19626" operator="equal">
      <formula>FALSE</formula>
    </cfRule>
  </conditionalFormatting>
  <conditionalFormatting sqref="M2">
    <cfRule type="cellIs" dxfId="30" priority="19625" operator="equal">
      <formula>FALSE</formula>
    </cfRule>
  </conditionalFormatting>
  <conditionalFormatting sqref="M2 A2:L8">
    <cfRule type="expression" dxfId="29" priority="19624">
      <formula>#REF!="No"</formula>
    </cfRule>
  </conditionalFormatting>
  <conditionalFormatting sqref="K2">
    <cfRule type="cellIs" dxfId="28" priority="19621" operator="equal">
      <formula>FALSE</formula>
    </cfRule>
  </conditionalFormatting>
  <conditionalFormatting sqref="L2">
    <cfRule type="cellIs" dxfId="27" priority="19619" operator="equal">
      <formula>FALSE</formula>
    </cfRule>
  </conditionalFormatting>
  <conditionalFormatting sqref="C3">
    <cfRule type="cellIs" dxfId="26" priority="19617" operator="equal">
      <formula>FALSE</formula>
    </cfRule>
  </conditionalFormatting>
  <conditionalFormatting sqref="D2 H2 F2">
    <cfRule type="cellIs" dxfId="25" priority="19605" operator="equal">
      <formula>FALSE</formula>
    </cfRule>
  </conditionalFormatting>
  <conditionalFormatting sqref="G2">
    <cfRule type="cellIs" dxfId="24" priority="19603" operator="equal">
      <formula>FALSE</formula>
    </cfRule>
  </conditionalFormatting>
  <conditionalFormatting sqref="I3">
    <cfRule type="cellIs" dxfId="23" priority="19601" operator="equal">
      <formula>FALSE</formula>
    </cfRule>
  </conditionalFormatting>
  <conditionalFormatting sqref="M3">
    <cfRule type="cellIs" dxfId="22" priority="19595" operator="equal">
      <formula>FALSE</formula>
    </cfRule>
  </conditionalFormatting>
  <conditionalFormatting sqref="M3">
    <cfRule type="expression" dxfId="21" priority="19594">
      <formula>#REF!="No"</formula>
    </cfRule>
  </conditionalFormatting>
  <conditionalFormatting sqref="K3">
    <cfRule type="cellIs" dxfId="20" priority="19593" operator="equal">
      <formula>FALSE</formula>
    </cfRule>
  </conditionalFormatting>
  <conditionalFormatting sqref="L3">
    <cfRule type="cellIs" dxfId="19" priority="19591" operator="equal">
      <formula>FALSE</formula>
    </cfRule>
  </conditionalFormatting>
  <conditionalFormatting sqref="I4">
    <cfRule type="cellIs" dxfId="18" priority="19589" operator="equal">
      <formula>FALSE</formula>
    </cfRule>
  </conditionalFormatting>
  <conditionalFormatting sqref="M4">
    <cfRule type="cellIs" dxfId="17" priority="19583" operator="equal">
      <formula>FALSE</formula>
    </cfRule>
  </conditionalFormatting>
  <conditionalFormatting sqref="M4:M8">
    <cfRule type="expression" dxfId="16" priority="19582">
      <formula>#REF!="No"</formula>
    </cfRule>
  </conditionalFormatting>
  <conditionalFormatting sqref="L4">
    <cfRule type="cellIs" dxfId="15" priority="19579" operator="equal">
      <formula>FALSE</formula>
    </cfRule>
  </conditionalFormatting>
  <conditionalFormatting sqref="B3">
    <cfRule type="cellIs" dxfId="14" priority="19409" operator="equal">
      <formula>FALSE</formula>
    </cfRule>
  </conditionalFormatting>
  <conditionalFormatting sqref="F3 H3">
    <cfRule type="cellIs" dxfId="13" priority="19405" operator="equal">
      <formula>FALSE</formula>
    </cfRule>
  </conditionalFormatting>
  <conditionalFormatting sqref="D3">
    <cfRule type="cellIs" dxfId="12" priority="19403" operator="equal">
      <formula>FALSE</formula>
    </cfRule>
  </conditionalFormatting>
  <conditionalFormatting sqref="G3">
    <cfRule type="cellIs" dxfId="11" priority="19401" operator="equal">
      <formula>FALSE</formula>
    </cfRule>
  </conditionalFormatting>
  <conditionalFormatting sqref="B4">
    <cfRule type="cellIs" dxfId="10" priority="19399" operator="equal">
      <formula>FALSE</formula>
    </cfRule>
  </conditionalFormatting>
  <conditionalFormatting sqref="E2">
    <cfRule type="cellIs" dxfId="9" priority="19393" operator="equal">
      <formula>FALSE</formula>
    </cfRule>
  </conditionalFormatting>
  <conditionalFormatting sqref="E3">
    <cfRule type="cellIs" dxfId="8" priority="19391" operator="equal">
      <formula>FALSE</formula>
    </cfRule>
  </conditionalFormatting>
  <conditionalFormatting sqref="D4">
    <cfRule type="cellIs" dxfId="7" priority="19353" operator="equal">
      <formula>FALSE</formula>
    </cfRule>
  </conditionalFormatting>
  <conditionalFormatting sqref="G4">
    <cfRule type="cellIs" dxfId="6" priority="19351" operator="equal">
      <formula>FALSE</formula>
    </cfRule>
  </conditionalFormatting>
  <conditionalFormatting sqref="H4">
    <cfRule type="cellIs" dxfId="5" priority="19349" operator="equal">
      <formula>FALSE</formula>
    </cfRule>
  </conditionalFormatting>
  <conditionalFormatting sqref="K4">
    <cfRule type="cellIs" dxfId="4" priority="18415" operator="equal">
      <formula>FALSE</formula>
    </cfRule>
  </conditionalFormatting>
  <conditionalFormatting sqref="B3">
    <cfRule type="cellIs" dxfId="3" priority="4" operator="equal">
      <formula>FALSE</formula>
    </cfRule>
  </conditionalFormatting>
  <conditionalFormatting sqref="B4">
    <cfRule type="cellIs" dxfId="2" priority="3" operator="equal">
      <formula>FALSE</formula>
    </cfRule>
  </conditionalFormatting>
  <conditionalFormatting sqref="B4">
    <cfRule type="cellIs" dxfId="1" priority="2" operator="equal">
      <formula>FALSE</formula>
    </cfRule>
  </conditionalFormatting>
  <conditionalFormatting sqref="E4">
    <cfRule type="cellIs" dxfId="0" priority="1" operator="equal">
      <formula>FALSE</formula>
    </cfRule>
  </conditionalFormatting>
  <dataValidations count="3">
    <dataValidation type="list" allowBlank="1" showInputMessage="1" showErrorMessage="1" sqref="J2" xr:uid="{0D95A9BE-99BD-AA4E-B24A-CF3C8FA26FB0}">
      <formula1>"Not Yet Started, Failed,Passed,In Progress"</formula1>
    </dataValidation>
    <dataValidation type="list" allowBlank="1" showInputMessage="1" showErrorMessage="1" sqref="I2:I8" xr:uid="{00000000-0002-0000-0500-000001000000}">
      <formula1>"1,2,3,4,5,6,7,8,9,10"</formula1>
    </dataValidation>
    <dataValidation type="list" allowBlank="1" showInputMessage="1" showErrorMessage="1" sqref="J3:J8" xr:uid="{00000000-0002-0000-0500-000003000000}">
      <formula1>"Not Yet Started, In Progress, Passed, Failed"</formula1>
    </dataValidation>
  </dataValidations>
  <pageMargins left="0.7" right="0.7" top="0.75" bottom="0.75" header="0.3" footer="0.3"/>
  <pageSetup paperSize="9" orientation="portrait"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9FE7D6D42D044C8C2D497624EB90B9" ma:contentTypeVersion="2" ma:contentTypeDescription="Create a new document." ma:contentTypeScope="" ma:versionID="3c6697722e713294d5184c6e52845aa3">
  <xsd:schema xmlns:xsd="http://www.w3.org/2001/XMLSchema" xmlns:xs="http://www.w3.org/2001/XMLSchema" xmlns:p="http://schemas.microsoft.com/office/2006/metadata/properties" xmlns:ns2="a45dd7ca-51f3-4c81-9a14-e068a1d0adf0" targetNamespace="http://schemas.microsoft.com/office/2006/metadata/properties" ma:root="true" ma:fieldsID="b81847dbba3ca2813d1f05103148bd04" ns2:_="">
    <xsd:import namespace="a45dd7ca-51f3-4c81-9a14-e068a1d0adf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dd7ca-51f3-4c81-9a14-e068a1d0a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DC7F57D-8D6B-4860-A790-A886CF9274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dd7ca-51f3-4c81-9a14-e068a1d0ad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EBD661-DE40-449E-A40F-E545FA95B75E}">
  <ds:schemaRefs>
    <ds:schemaRef ds:uri="http://schemas.microsoft.com/sharepoint/v3/contenttype/forms"/>
  </ds:schemaRefs>
</ds:datastoreItem>
</file>

<file path=customXml/itemProps3.xml><?xml version="1.0" encoding="utf-8"?>
<ds:datastoreItem xmlns:ds="http://schemas.openxmlformats.org/officeDocument/2006/customXml" ds:itemID="{B87E1E16-F8E1-4572-8A49-C7E473FAAC0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Test Cases</vt:lpstr>
    </vt:vector>
  </TitlesOfParts>
  <Company>NetSuite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Agbayani, Jay-Ar</dc:creator>
  <cp:lastModifiedBy>Jefferson</cp:lastModifiedBy>
  <dcterms:created xsi:type="dcterms:W3CDTF">2013-07-12T16:08:32Z</dcterms:created>
  <dcterms:modified xsi:type="dcterms:W3CDTF">2020-11-05T10:29:19Z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0x010100DB9FE7D6D42D044C8C2D497624EB90B9</vt:lpwstr>
  </property>
</Properties>
</file>